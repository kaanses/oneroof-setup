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_CHART_HELPER" sheetId="1" r:id="rId5"/>
    <sheet state="visible" name="LIVE" sheetId="2" r:id="rId6"/>
    <sheet state="visible" name="DASH" sheetId="3" r:id="rId7"/>
    <sheet state="visible" name="HIST" sheetId="4" r:id="rId8"/>
    <sheet state="visible" name="SET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D256">
      <text>
        <t xml:space="preserve">DASH_METADATA</t>
      </text>
    </comment>
    <comment authorId="0" ref="AD257">
      <text>
        <t xml:space="preserve">total_earnings</t>
      </text>
    </comment>
    <comment authorId="0" ref="AD258">
      <text>
        <t xml:space="preserve">work_units</t>
      </text>
    </comment>
    <comment authorId="0" ref="AD259">
      <text>
        <t xml:space="preserve">games_covered</t>
      </text>
    </comment>
    <comment authorId="0" ref="AD260">
      <text>
        <t xml:space="preserve">games_assigned</t>
      </text>
    </comment>
    <comment authorId="0" ref="AD261">
      <text>
        <t xml:space="preserve">completion_rate</t>
      </text>
    </comment>
    <comment authorId="0" ref="AD262">
      <text>
        <t xml:space="preserve">avg_session_hours</t>
      </text>
    </comment>
  </commentList>
</comments>
</file>

<file path=xl/sharedStrings.xml><?xml version="1.0" encoding="utf-8"?>
<sst xmlns="http://schemas.openxmlformats.org/spreadsheetml/2006/main" count="654" uniqueCount="591">
  <si>
    <t>LIVE</t>
  </si>
  <si>
    <t>ID</t>
  </si>
  <si>
    <t>DATE</t>
  </si>
  <si>
    <t>DAY</t>
  </si>
  <si>
    <t>TIME</t>
  </si>
  <si>
    <t>PL</t>
  </si>
  <si>
    <t>SPORT</t>
  </si>
  <si>
    <t>CTRY</t>
  </si>
  <si>
    <t>TOURNAMENT</t>
  </si>
  <si>
    <t>HOME</t>
  </si>
  <si>
    <t>AWAY</t>
  </si>
  <si>
    <t>1SC</t>
  </si>
  <si>
    <t>2SC</t>
  </si>
  <si>
    <t>_Type</t>
  </si>
  <si>
    <t>_Platform</t>
  </si>
  <si>
    <t>_SportName</t>
  </si>
  <si>
    <t>DASHBOARD</t>
  </si>
  <si>
    <t>0/0</t>
  </si>
  <si>
    <t>--</t>
  </si>
  <si>
    <t>Total Earnings</t>
  </si>
  <si>
    <t>Work Units</t>
  </si>
  <si>
    <t>Assigned / Covered</t>
  </si>
  <si>
    <t>Avg. Session</t>
  </si>
  <si>
    <t>Total Velocity</t>
  </si>
  <si>
    <t>Monthly Projections</t>
  </si>
  <si>
    <t>Streak</t>
  </si>
  <si>
    <t>Work Load</t>
  </si>
  <si>
    <t>Wasted Time</t>
  </si>
  <si>
    <t>Overall efficiency</t>
  </si>
  <si>
    <t>THIS WEEK</t>
  </si>
  <si>
    <t>HOUR</t>
  </si>
  <si>
    <t>INFO</t>
  </si>
  <si>
    <t>STREAM</t>
  </si>
  <si>
    <t>HOME VS AWAY</t>
  </si>
  <si>
    <t xml:space="preserve"> COMPARISONS</t>
  </si>
  <si>
    <t>MON</t>
  </si>
  <si>
    <t>□□□□□□□□□□□□□□□□□□□□□□□□</t>
  </si>
  <si>
    <t>0.0h</t>
  </si>
  <si>
    <t>Metric</t>
  </si>
  <si>
    <t>Δ</t>
  </si>
  <si>
    <t>TUE</t>
  </si>
  <si>
    <t>Earnings</t>
  </si>
  <si>
    <t>WED</t>
  </si>
  <si>
    <t>Units</t>
  </si>
  <si>
    <t>THU</t>
  </si>
  <si>
    <t>FRI</t>
  </si>
  <si>
    <t>Best Day</t>
  </si>
  <si>
    <t>SAT</t>
  </si>
  <si>
    <t>Total Sess</t>
  </si>
  <si>
    <t>SUN</t>
  </si>
  <si>
    <t>Longest</t>
  </si>
  <si>
    <t>SPORTS BREAKDOWN</t>
  </si>
  <si>
    <t xml:space="preserve">     SESSION</t>
  </si>
  <si>
    <t>Soccer</t>
  </si>
  <si>
    <t>□□□□□□□□□□□□□□□□□□□□</t>
  </si>
  <si>
    <t>Duration</t>
  </si>
  <si>
    <t>Basketball</t>
  </si>
  <si>
    <t>Ice Hockey</t>
  </si>
  <si>
    <t>Games</t>
  </si>
  <si>
    <t>E-Sport</t>
  </si>
  <si>
    <t>Status</t>
  </si>
  <si>
    <t>Tennis</t>
  </si>
  <si>
    <t>MOST COVERED COUNTRIES</t>
  </si>
  <si>
    <t>Badminton</t>
  </si>
  <si>
    <t>Rugby</t>
  </si>
  <si>
    <t>Volleyball</t>
  </si>
  <si>
    <t>Handball</t>
  </si>
  <si>
    <t>Football</t>
  </si>
  <si>
    <t>Other</t>
  </si>
  <si>
    <t>PLT</t>
  </si>
  <si>
    <t>PRICE</t>
  </si>
  <si>
    <t>STATUS</t>
  </si>
  <si>
    <t>_Source</t>
  </si>
  <si>
    <t>SETTINGS</t>
  </si>
  <si>
    <t>VALUE</t>
  </si>
  <si>
    <t>MY NAME</t>
  </si>
  <si>
    <t>My Name</t>
  </si>
  <si>
    <t>CATEGORY</t>
  </si>
  <si>
    <t>Source Sheet ID</t>
  </si>
  <si>
    <t>Buraya Scout Game İdsi gelicek</t>
  </si>
  <si>
    <t>Pricing Sheet ID</t>
  </si>
  <si>
    <t>Buraya Freelancer Fees İdsi Gelicek</t>
  </si>
  <si>
    <t>Aruba</t>
  </si>
  <si>
    <t>🇦🇼</t>
  </si>
  <si>
    <t>Bahamas</t>
  </si>
  <si>
    <t>🇧🇸</t>
  </si>
  <si>
    <t>Barbados</t>
  </si>
  <si>
    <t>🇧🇧</t>
  </si>
  <si>
    <t>Belize</t>
  </si>
  <si>
    <t>🇧🇿</t>
  </si>
  <si>
    <t>Benin</t>
  </si>
  <si>
    <t>🇧🇯</t>
  </si>
  <si>
    <t>Bermuda</t>
  </si>
  <si>
    <t>🇧🇲</t>
  </si>
  <si>
    <t>Bhutan</t>
  </si>
  <si>
    <t>🇧🇹</t>
  </si>
  <si>
    <t>Botswana</t>
  </si>
  <si>
    <t>🇧🇼</t>
  </si>
  <si>
    <t>Brunei</t>
  </si>
  <si>
    <t>🇧🇳</t>
  </si>
  <si>
    <t>Burkina Faso</t>
  </si>
  <si>
    <t>🇧🇫</t>
  </si>
  <si>
    <t>Burundi</t>
  </si>
  <si>
    <t>🇧🇮</t>
  </si>
  <si>
    <t>Cape Verde</t>
  </si>
  <si>
    <t>🇨🇻</t>
  </si>
  <si>
    <t>Central African Republic</t>
  </si>
  <si>
    <t>🇨🇫</t>
  </si>
  <si>
    <t>Chad</t>
  </si>
  <si>
    <t>🇹🇩</t>
  </si>
  <si>
    <t>Comoros</t>
  </si>
  <si>
    <t>🇰🇲</t>
  </si>
  <si>
    <t>Congo</t>
  </si>
  <si>
    <t>🇨🇬</t>
  </si>
  <si>
    <t>DR Congo</t>
  </si>
  <si>
    <t>🇨🇩</t>
  </si>
  <si>
    <t>Curaçao</t>
  </si>
  <si>
    <t>🇨🇼</t>
  </si>
  <si>
    <t>Djibouti</t>
  </si>
  <si>
    <t>🇩🇯</t>
  </si>
  <si>
    <t>Dominica</t>
  </si>
  <si>
    <t>🇩🇲</t>
  </si>
  <si>
    <t>Equatorial Guinea</t>
  </si>
  <si>
    <t>🇬🇶</t>
  </si>
  <si>
    <t>Eritrea</t>
  </si>
  <si>
    <t>🇪🇷</t>
  </si>
  <si>
    <t>Eswatini</t>
  </si>
  <si>
    <t>🇸🇿</t>
  </si>
  <si>
    <t>Faroe Islands</t>
  </si>
  <si>
    <t>🇫🇴</t>
  </si>
  <si>
    <t>Fiji</t>
  </si>
  <si>
    <t>🇫🇯</t>
  </si>
  <si>
    <t>French Guiana</t>
  </si>
  <si>
    <t>🇬🇫</t>
  </si>
  <si>
    <t>Gabon</t>
  </si>
  <si>
    <t>🇬🇦</t>
  </si>
  <si>
    <t>Gambia</t>
  </si>
  <si>
    <t>🇬🇲</t>
  </si>
  <si>
    <t>Gibraltar</t>
  </si>
  <si>
    <t>🇬🇮</t>
  </si>
  <si>
    <t>Greenland</t>
  </si>
  <si>
    <t>🇬🇱</t>
  </si>
  <si>
    <t>Grenada</t>
  </si>
  <si>
    <t>🇬🇩</t>
  </si>
  <si>
    <t>Guadeloupe</t>
  </si>
  <si>
    <t>🇬🇵</t>
  </si>
  <si>
    <t>Guam</t>
  </si>
  <si>
    <t>🇬🇺</t>
  </si>
  <si>
    <t>Guinea</t>
  </si>
  <si>
    <t>🇬🇳</t>
  </si>
  <si>
    <t>Guinea-Bissau</t>
  </si>
  <si>
    <t>🇬🇼</t>
  </si>
  <si>
    <t>Guyana</t>
  </si>
  <si>
    <t>🇬🇾</t>
  </si>
  <si>
    <t>Haiti</t>
  </si>
  <si>
    <t>🇭🇹</t>
  </si>
  <si>
    <t>Kyrgyzstan</t>
  </si>
  <si>
    <t>🇰🇬</t>
  </si>
  <si>
    <t>Laos</t>
  </si>
  <si>
    <t>🇱🇦</t>
  </si>
  <si>
    <t>Lesotho</t>
  </si>
  <si>
    <t>🇱🇸</t>
  </si>
  <si>
    <t>Liberia</t>
  </si>
  <si>
    <t>🇱🇷</t>
  </si>
  <si>
    <t>Liechtenstein</t>
  </si>
  <si>
    <t>🇱🇮</t>
  </si>
  <si>
    <t>Macau</t>
  </si>
  <si>
    <t>🇲🇴</t>
  </si>
  <si>
    <t>Madagascar</t>
  </si>
  <si>
    <t>🇲🇬</t>
  </si>
  <si>
    <t>Malawi</t>
  </si>
  <si>
    <t>🇲🇼</t>
  </si>
  <si>
    <t>Maldives</t>
  </si>
  <si>
    <t>🇲🇻</t>
  </si>
  <si>
    <t>Mali</t>
  </si>
  <si>
    <t>🇲🇱</t>
  </si>
  <si>
    <t>Martinique</t>
  </si>
  <si>
    <t>🇲🇶</t>
  </si>
  <si>
    <t>Mauritania</t>
  </si>
  <si>
    <t>🇲🇷</t>
  </si>
  <si>
    <t>Mauritius</t>
  </si>
  <si>
    <t>🇲🇺</t>
  </si>
  <si>
    <t>Mayotte</t>
  </si>
  <si>
    <t>🇾🇹</t>
  </si>
  <si>
    <t>Monaco</t>
  </si>
  <si>
    <t>🇲🇨</t>
  </si>
  <si>
    <t>Mongolia</t>
  </si>
  <si>
    <t>🇲🇳</t>
  </si>
  <si>
    <t>Montserrat</t>
  </si>
  <si>
    <t>🇲🇸</t>
  </si>
  <si>
    <t>Mozambique</t>
  </si>
  <si>
    <t>🇲🇿</t>
  </si>
  <si>
    <t>Myanmar</t>
  </si>
  <si>
    <t>🇲🇲</t>
  </si>
  <si>
    <t>Namibia</t>
  </si>
  <si>
    <t>🇳🇦</t>
  </si>
  <si>
    <t>Nepal</t>
  </si>
  <si>
    <t>🇳🇵</t>
  </si>
  <si>
    <t>Niger</t>
  </si>
  <si>
    <t>🇳🇪</t>
  </si>
  <si>
    <t>Papua New Guinea</t>
  </si>
  <si>
    <t>🇵🇬</t>
  </si>
  <si>
    <t>Puerto Rico</t>
  </si>
  <si>
    <t>🇵🇷</t>
  </si>
  <si>
    <t>Réunion</t>
  </si>
  <si>
    <t>🇷🇪</t>
  </si>
  <si>
    <t>International</t>
  </si>
  <si>
    <t>🌍</t>
  </si>
  <si>
    <t>SR Aussie Rules</t>
  </si>
  <si>
    <t>🏈🦘</t>
  </si>
  <si>
    <t>International Clubs</t>
  </si>
  <si>
    <t>SR Badminton</t>
  </si>
  <si>
    <t>🏸</t>
  </si>
  <si>
    <t>Turkiye</t>
  </si>
  <si>
    <t>🇹🇷</t>
  </si>
  <si>
    <t>SR Baseball</t>
  </si>
  <si>
    <t>⚾</t>
  </si>
  <si>
    <t>Afghanistan</t>
  </si>
  <si>
    <t>🇦🇫</t>
  </si>
  <si>
    <t>SR Basketball</t>
  </si>
  <si>
    <t>🏀</t>
  </si>
  <si>
    <t>Albania</t>
  </si>
  <si>
    <t>🇦🇱</t>
  </si>
  <si>
    <t>SR Basketball Ex</t>
  </si>
  <si>
    <t>🏀⏱️</t>
  </si>
  <si>
    <t>Algeria</t>
  </si>
  <si>
    <t>🇩🇿</t>
  </si>
  <si>
    <t>SR Beach Volley</t>
  </si>
  <si>
    <t>🏐🏖️</t>
  </si>
  <si>
    <t>Argentina</t>
  </si>
  <si>
    <t>🇦🇷</t>
  </si>
  <si>
    <t>SR Cricket</t>
  </si>
  <si>
    <t>🏏</t>
  </si>
  <si>
    <t>Armenia</t>
  </si>
  <si>
    <t>🇦🇲</t>
  </si>
  <si>
    <t>SR Cricket Ex</t>
  </si>
  <si>
    <t>🏏⏱️</t>
  </si>
  <si>
    <t>Australia</t>
  </si>
  <si>
    <t>🇦🇺</t>
  </si>
  <si>
    <t>SR Cricket Long</t>
  </si>
  <si>
    <t>🏏🌓</t>
  </si>
  <si>
    <t>Austria</t>
  </si>
  <si>
    <t>🇦🇹</t>
  </si>
  <si>
    <t>SR Cricket Short</t>
  </si>
  <si>
    <t>🏏⚡</t>
  </si>
  <si>
    <t>Azerbaijan</t>
  </si>
  <si>
    <t>🇦🇿</t>
  </si>
  <si>
    <t>SR E-Sport Basketball</t>
  </si>
  <si>
    <t>🎮🏀</t>
  </si>
  <si>
    <t>Bahrain</t>
  </si>
  <si>
    <t>🇧🇭</t>
  </si>
  <si>
    <t>SR E-Sport Basketball Ex</t>
  </si>
  <si>
    <t>🎮🏀⭐</t>
  </si>
  <si>
    <t>Bangladesh</t>
  </si>
  <si>
    <t>🇧🇩</t>
  </si>
  <si>
    <t>SR E-Sport Cricket</t>
  </si>
  <si>
    <t>🎮🏏</t>
  </si>
  <si>
    <t>Belarus</t>
  </si>
  <si>
    <t>🇧🇾</t>
  </si>
  <si>
    <t>SR E-Sport Ice Hockey</t>
  </si>
  <si>
    <t>🎮🏒</t>
  </si>
  <si>
    <t>Belgium</t>
  </si>
  <si>
    <t>🇧🇪</t>
  </si>
  <si>
    <t>SR E-Sport Soccer</t>
  </si>
  <si>
    <t>🎮⚽</t>
  </si>
  <si>
    <t>Bolivia</t>
  </si>
  <si>
    <t>🇧🇴</t>
  </si>
  <si>
    <t>SR E-Sport Volleyball</t>
  </si>
  <si>
    <t>🎮🏐</t>
  </si>
  <si>
    <t>Bosnia and Herzegovina</t>
  </si>
  <si>
    <t>🇧🇦</t>
  </si>
  <si>
    <t>SR Field Hockey</t>
  </si>
  <si>
    <t>🏑</t>
  </si>
  <si>
    <t>Brazil</t>
  </si>
  <si>
    <t>🇧🇷</t>
  </si>
  <si>
    <t>SR Football</t>
  </si>
  <si>
    <t>🏈🦅</t>
  </si>
  <si>
    <t>Bulgaria</t>
  </si>
  <si>
    <t>🇧🇬</t>
  </si>
  <si>
    <t>SR Futsal</t>
  </si>
  <si>
    <t>⚽🔶</t>
  </si>
  <si>
    <t>Cambodia</t>
  </si>
  <si>
    <t>🇰🇭</t>
  </si>
  <si>
    <t>SR Handball</t>
  </si>
  <si>
    <t>🤾</t>
  </si>
  <si>
    <t>Cameroon</t>
  </si>
  <si>
    <t>🇨🇲</t>
  </si>
  <si>
    <t>SR Ice Hockey</t>
  </si>
  <si>
    <t>🏒</t>
  </si>
  <si>
    <t>Canada</t>
  </si>
  <si>
    <t>🇨🇦</t>
  </si>
  <si>
    <t>SR Ice Hockey Ex</t>
  </si>
  <si>
    <t>🏒⏱️</t>
  </si>
  <si>
    <t>Chile</t>
  </si>
  <si>
    <t>🇨🇱</t>
  </si>
  <si>
    <t>SR Ice Hockey Short</t>
  </si>
  <si>
    <t>🏒⚡</t>
  </si>
  <si>
    <t>China</t>
  </si>
  <si>
    <t>🇨🇳</t>
  </si>
  <si>
    <t>SR Padel</t>
  </si>
  <si>
    <t>🎾🧱</t>
  </si>
  <si>
    <t>Colombia</t>
  </si>
  <si>
    <t>🇨🇴</t>
  </si>
  <si>
    <t>SR Rugby</t>
  </si>
  <si>
    <t>🏉</t>
  </si>
  <si>
    <t>Costa Rica</t>
  </si>
  <si>
    <t>🇨🇷</t>
  </si>
  <si>
    <t>SR Rugby Sevens</t>
  </si>
  <si>
    <t>🏉7️⃣</t>
  </si>
  <si>
    <t>Croatia</t>
  </si>
  <si>
    <t>🇭🇷</t>
  </si>
  <si>
    <t>SR Soccer</t>
  </si>
  <si>
    <t>⚽</t>
  </si>
  <si>
    <t>Cuba</t>
  </si>
  <si>
    <t>🇨🇺</t>
  </si>
  <si>
    <t>SR Soccer 6x6</t>
  </si>
  <si>
    <t>⚽6️⃣</t>
  </si>
  <si>
    <t>Cyprus</t>
  </si>
  <si>
    <t>🇨🇾</t>
  </si>
  <si>
    <t>SR Table Tennis</t>
  </si>
  <si>
    <t>🏓</t>
  </si>
  <si>
    <t>Czech Republic</t>
  </si>
  <si>
    <t>🇨🇿</t>
  </si>
  <si>
    <t>SR Table Tennis Short</t>
  </si>
  <si>
    <t>🏓⚡</t>
  </si>
  <si>
    <t>Denmark</t>
  </si>
  <si>
    <t>🇩🇰</t>
  </si>
  <si>
    <t>SR Tennis</t>
  </si>
  <si>
    <t>🎾</t>
  </si>
  <si>
    <t>Dominican Republic</t>
  </si>
  <si>
    <t>🇩🇴</t>
  </si>
  <si>
    <t>SR Volleyball</t>
  </si>
  <si>
    <t>🏐</t>
  </si>
  <si>
    <t>Ecuador</t>
  </si>
  <si>
    <t>🇪🇨</t>
  </si>
  <si>
    <t>RTS 3s Basketball</t>
  </si>
  <si>
    <t>🏀3️⃣</t>
  </si>
  <si>
    <t>Egypt</t>
  </si>
  <si>
    <t>🇪🇬</t>
  </si>
  <si>
    <t>RTS Basketball</t>
  </si>
  <si>
    <t>El Salvador</t>
  </si>
  <si>
    <t>🇸🇻</t>
  </si>
  <si>
    <t>RTS Canadian Football</t>
  </si>
  <si>
    <t>🏈🍁</t>
  </si>
  <si>
    <t>England</t>
  </si>
  <si>
    <t>🏴󠁧󠁢󠁥󠁮󠁧󠁿</t>
  </si>
  <si>
    <t>RTS E-Sport Soccer</t>
  </si>
  <si>
    <t>Estonia</t>
  </si>
  <si>
    <t>🇪🇪</t>
  </si>
  <si>
    <t>RTS Futsal</t>
  </si>
  <si>
    <t>Ethiopia</t>
  </si>
  <si>
    <t>🇪🇹</t>
  </si>
  <si>
    <t>RTS Handball</t>
  </si>
  <si>
    <t>Finland</t>
  </si>
  <si>
    <t>🇫🇮</t>
  </si>
  <si>
    <t>RTS Ice Hockey</t>
  </si>
  <si>
    <t>France</t>
  </si>
  <si>
    <t>🇫🇷</t>
  </si>
  <si>
    <t>RTS Kabaddi</t>
  </si>
  <si>
    <t>🤼</t>
  </si>
  <si>
    <t>Georgia</t>
  </si>
  <si>
    <t>🇬🇪</t>
  </si>
  <si>
    <t>RTS Lacrosse</t>
  </si>
  <si>
    <t>🥍</t>
  </si>
  <si>
    <t>Germany</t>
  </si>
  <si>
    <t>🇩🇪</t>
  </si>
  <si>
    <t>RTS Soccer</t>
  </si>
  <si>
    <t>Ghana</t>
  </si>
  <si>
    <t>🇬🇭</t>
  </si>
  <si>
    <t>RTS Volleyball</t>
  </si>
  <si>
    <t>Greece</t>
  </si>
  <si>
    <t>🇬🇷</t>
  </si>
  <si>
    <t>RTS Water Polo</t>
  </si>
  <si>
    <t>🤽</t>
  </si>
  <si>
    <t>Guatemala</t>
  </si>
  <si>
    <t>🇬🇹</t>
  </si>
  <si>
    <t>Honduras</t>
  </si>
  <si>
    <t>🇭🇳</t>
  </si>
  <si>
    <t>Hong Kong</t>
  </si>
  <si>
    <t>🇭🇰</t>
  </si>
  <si>
    <t>Hungary</t>
  </si>
  <si>
    <t>🇭🇺</t>
  </si>
  <si>
    <t>Iceland</t>
  </si>
  <si>
    <t>🇮🇸</t>
  </si>
  <si>
    <t>India</t>
  </si>
  <si>
    <t>🇮🇳</t>
  </si>
  <si>
    <t>Indonesia</t>
  </si>
  <si>
    <t>🇮🇩</t>
  </si>
  <si>
    <t>Iran</t>
  </si>
  <si>
    <t>🇮🇷</t>
  </si>
  <si>
    <t>Iraq</t>
  </si>
  <si>
    <t>🇮🇶</t>
  </si>
  <si>
    <t>Ireland</t>
  </si>
  <si>
    <t>🇮🇪</t>
  </si>
  <si>
    <t>Israel</t>
  </si>
  <si>
    <t>🇮🇱</t>
  </si>
  <si>
    <t>Italy</t>
  </si>
  <si>
    <t>🇮🇹</t>
  </si>
  <si>
    <t>Jamaica</t>
  </si>
  <si>
    <t>🇯🇲</t>
  </si>
  <si>
    <t>Japan</t>
  </si>
  <si>
    <t>🇯🇵</t>
  </si>
  <si>
    <t>Jordan</t>
  </si>
  <si>
    <t>🇯🇴</t>
  </si>
  <si>
    <t>Kazakhstan</t>
  </si>
  <si>
    <t>🇰🇿</t>
  </si>
  <si>
    <t>Kenya</t>
  </si>
  <si>
    <t>🇰🇪</t>
  </si>
  <si>
    <t>Kosovo</t>
  </si>
  <si>
    <t>🇽🇰</t>
  </si>
  <si>
    <t>Kuwait</t>
  </si>
  <si>
    <t>🇰🇼</t>
  </si>
  <si>
    <t>Latvia</t>
  </si>
  <si>
    <t>🇱🇻</t>
  </si>
  <si>
    <t>Lebanon</t>
  </si>
  <si>
    <t>🇱🇧</t>
  </si>
  <si>
    <t>Libya</t>
  </si>
  <si>
    <t>🇱🇾</t>
  </si>
  <si>
    <t>Lithuania</t>
  </si>
  <si>
    <t>🇱🇹</t>
  </si>
  <si>
    <t>Luxembourg</t>
  </si>
  <si>
    <t>🇱🇺</t>
  </si>
  <si>
    <t>North Macedonia</t>
  </si>
  <si>
    <t>🇲🇰</t>
  </si>
  <si>
    <t>Malaysia</t>
  </si>
  <si>
    <t>🇲🇾</t>
  </si>
  <si>
    <t>Malta</t>
  </si>
  <si>
    <t>🇲🇹</t>
  </si>
  <si>
    <t>Mexico</t>
  </si>
  <si>
    <t>🇲🇽</t>
  </si>
  <si>
    <t>Moldova</t>
  </si>
  <si>
    <t>🇲🇩</t>
  </si>
  <si>
    <t>Montenegro</t>
  </si>
  <si>
    <t>🇲🇪</t>
  </si>
  <si>
    <t>Morocco</t>
  </si>
  <si>
    <t>🇲🇦</t>
  </si>
  <si>
    <t>Netherlands</t>
  </si>
  <si>
    <t>🇳🇱</t>
  </si>
  <si>
    <t>New Zealand</t>
  </si>
  <si>
    <t>🇳🇿</t>
  </si>
  <si>
    <t>Nicaragua</t>
  </si>
  <si>
    <t>🇳🇮</t>
  </si>
  <si>
    <t>Nigeria</t>
  </si>
  <si>
    <t>🇳🇬</t>
  </si>
  <si>
    <t>North Korea</t>
  </si>
  <si>
    <t>🇰🇵</t>
  </si>
  <si>
    <t>Northern Ireland</t>
  </si>
  <si>
    <t>🇬🇧</t>
  </si>
  <si>
    <t>Norway</t>
  </si>
  <si>
    <t>🇳🇴</t>
  </si>
  <si>
    <t>Oman</t>
  </si>
  <si>
    <t>Pakistan</t>
  </si>
  <si>
    <t>🇵🇰</t>
  </si>
  <si>
    <t>Palestine</t>
  </si>
  <si>
    <t>🇵🇸</t>
  </si>
  <si>
    <t>Panama</t>
  </si>
  <si>
    <t>🇵🇦</t>
  </si>
  <si>
    <t>Paraguay</t>
  </si>
  <si>
    <t>🇵🇾</t>
  </si>
  <si>
    <t>Peru</t>
  </si>
  <si>
    <t>🇵🇪</t>
  </si>
  <si>
    <t>Philippines</t>
  </si>
  <si>
    <t>🇵🇭</t>
  </si>
  <si>
    <t>Poland</t>
  </si>
  <si>
    <t>🇵🇱</t>
  </si>
  <si>
    <t>Portugal</t>
  </si>
  <si>
    <t>🇵🇹</t>
  </si>
  <si>
    <t>Qatar</t>
  </si>
  <si>
    <t>🇶🇦</t>
  </si>
  <si>
    <t>Romania</t>
  </si>
  <si>
    <t>🇷🇴</t>
  </si>
  <si>
    <t>Russia</t>
  </si>
  <si>
    <t>🇷🇺</t>
  </si>
  <si>
    <t>Saudi Arabia</t>
  </si>
  <si>
    <t>🇸🇦</t>
  </si>
  <si>
    <t>Scotland</t>
  </si>
  <si>
    <t>🏴󠁧󠁢󠁳󠁣󠁴󠁿</t>
  </si>
  <si>
    <t>Senegal</t>
  </si>
  <si>
    <t>🇸🇳</t>
  </si>
  <si>
    <t>Serbia</t>
  </si>
  <si>
    <t>🇷🇸</t>
  </si>
  <si>
    <t>Singapore</t>
  </si>
  <si>
    <t>🇸🇬</t>
  </si>
  <si>
    <t>Slovakia</t>
  </si>
  <si>
    <t>🇸🇰</t>
  </si>
  <si>
    <t>Slovenia</t>
  </si>
  <si>
    <t>🇸🇮</t>
  </si>
  <si>
    <t>South Africa</t>
  </si>
  <si>
    <t>🇿🇦</t>
  </si>
  <si>
    <t>South Korea</t>
  </si>
  <si>
    <t>🇰🇷</t>
  </si>
  <si>
    <t>Spain</t>
  </si>
  <si>
    <t>🇪🇸</t>
  </si>
  <si>
    <t>Sri Lanka</t>
  </si>
  <si>
    <t>🇱🇰</t>
  </si>
  <si>
    <t>Sweden</t>
  </si>
  <si>
    <t>🇸🇪</t>
  </si>
  <si>
    <t>Switzerland</t>
  </si>
  <si>
    <t>🇨🇭</t>
  </si>
  <si>
    <t>Syria</t>
  </si>
  <si>
    <t>🇸🇾</t>
  </si>
  <si>
    <t>Taiwan</t>
  </si>
  <si>
    <t>🇹🇼</t>
  </si>
  <si>
    <t>Thailand</t>
  </si>
  <si>
    <t>🇹🇭</t>
  </si>
  <si>
    <t>Tunisia</t>
  </si>
  <si>
    <t>🇹🇳</t>
  </si>
  <si>
    <t>United Arab Emirates</t>
  </si>
  <si>
    <t>🇦🇪</t>
  </si>
  <si>
    <t>Uganda</t>
  </si>
  <si>
    <t>🇺🇬</t>
  </si>
  <si>
    <t>Ukraine</t>
  </si>
  <si>
    <t>🇺🇦</t>
  </si>
  <si>
    <t>Uruguay</t>
  </si>
  <si>
    <t>🇺🇾</t>
  </si>
  <si>
    <t>USA</t>
  </si>
  <si>
    <t>🇺🇸</t>
  </si>
  <si>
    <t>Uzbekistan</t>
  </si>
  <si>
    <t>🇺🇿</t>
  </si>
  <si>
    <t>Venezuela</t>
  </si>
  <si>
    <t>🇻🇪</t>
  </si>
  <si>
    <t>Vietnam</t>
  </si>
  <si>
    <t>🇻🇳</t>
  </si>
  <si>
    <t>Wales</t>
  </si>
  <si>
    <t>🏴󠁧󠁢󠁷󠁬󠁳󠁿</t>
  </si>
  <si>
    <t>Yemen</t>
  </si>
  <si>
    <t>🇾🇪</t>
  </si>
  <si>
    <t>Zambia</t>
  </si>
  <si>
    <t>🇿🇲</t>
  </si>
  <si>
    <t>Zimbabwe</t>
  </si>
  <si>
    <t>🇿🇼</t>
  </si>
  <si>
    <t>Ivory Coast</t>
  </si>
  <si>
    <t>🇨🇮</t>
  </si>
  <si>
    <t>Rwanda</t>
  </si>
  <si>
    <t>🇷🇼</t>
  </si>
  <si>
    <t>Saint Kitts and Nevis</t>
  </si>
  <si>
    <t>🇰🇳</t>
  </si>
  <si>
    <t>Saint Lucia</t>
  </si>
  <si>
    <t>🇱🇨</t>
  </si>
  <si>
    <t>Saint Vincent and the Grenadines</t>
  </si>
  <si>
    <t>🇻🇨</t>
  </si>
  <si>
    <t>Samoa</t>
  </si>
  <si>
    <t>🇼🇸</t>
  </si>
  <si>
    <t>San Marino</t>
  </si>
  <si>
    <t>🇸🇲</t>
  </si>
  <si>
    <t>São Tomé and Príncipe</t>
  </si>
  <si>
    <t>🇸🇹</t>
  </si>
  <si>
    <t>Seychelles</t>
  </si>
  <si>
    <t>🇸🇨</t>
  </si>
  <si>
    <t>Sierra Leone</t>
  </si>
  <si>
    <t>🇸🇱</t>
  </si>
  <si>
    <t>Solomon Islands</t>
  </si>
  <si>
    <t>🇸🇧</t>
  </si>
  <si>
    <t>Somalia</t>
  </si>
  <si>
    <t>🇸🇴</t>
  </si>
  <si>
    <t>South Sudan</t>
  </si>
  <si>
    <t>🇸🇸</t>
  </si>
  <si>
    <t>Sudan</t>
  </si>
  <si>
    <t>🇸🇩</t>
  </si>
  <si>
    <t>Suriname</t>
  </si>
  <si>
    <t>🇸🇷</t>
  </si>
  <si>
    <t>Tajikistan</t>
  </si>
  <si>
    <t>🇹🇯</t>
  </si>
  <si>
    <t>Tanzania</t>
  </si>
  <si>
    <t>🇹🇿</t>
  </si>
  <si>
    <t>Timor-Leste</t>
  </si>
  <si>
    <t>🇹🇱</t>
  </si>
  <si>
    <t>Togo</t>
  </si>
  <si>
    <t>🇹🇬</t>
  </si>
  <si>
    <t>Tonga</t>
  </si>
  <si>
    <t>🇹🇴</t>
  </si>
  <si>
    <t>Trinidad and Tobago</t>
  </si>
  <si>
    <t>🇹🇹</t>
  </si>
  <si>
    <t>Turkmenistan</t>
  </si>
  <si>
    <t>🇹🇲</t>
  </si>
  <si>
    <t>Turks and Caicos Islands</t>
  </si>
  <si>
    <t>🇹🇨</t>
  </si>
  <si>
    <t>Vanuatu</t>
  </si>
  <si>
    <t>🇻🇺</t>
  </si>
  <si>
    <t>Vatican City</t>
  </si>
  <si>
    <t>🇻🇦</t>
  </si>
  <si>
    <t>Virgin Islands</t>
  </si>
  <si>
    <t>🇻🇮</t>
  </si>
  <si>
    <t>Western Sahara</t>
  </si>
  <si>
    <t>🇪🇭</t>
  </si>
  <si>
    <t>Andorra</t>
  </si>
  <si>
    <t>🇦🇩</t>
  </si>
  <si>
    <t>Angola</t>
  </si>
  <si>
    <t>🇦🇴</t>
  </si>
  <si>
    <t>Antigua and Barbuda</t>
  </si>
  <si>
    <t>🇦🇬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</si>
</sst>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yyyy"/>
    <numFmt numFmtId="165" formatCode="&quot;₺&quot;#,##0"/>
    <numFmt numFmtId="166" formatCode="mm/dd/yyyy"/>
  </numFmts>
  <fonts count="99">
    <font>
      <sz val="10.0"/>
      <color rgb="FF000000"/>
      <name val="Arial"/>
      <scheme val="minor"/>
    </font>
    <font>
      <b/>
      <sz val="20.0"/>
      <color rgb="FFFFFFFF"/>
      <name val="Fira Sans"/>
    </font>
    <font>
      <b/>
      <sz val="10.0"/>
      <color rgb="FF000000"/>
      <name val="Arial"/>
    </font>
    <font>
      <b/>
      <sz val="9.0"/>
      <color rgb="FF000000"/>
      <name val="Arial"/>
    </font>
    <font>
      <sz val="12.0"/>
      <color rgb="FF000000"/>
      <name val="-webkit-standard"/>
    </font>
    <font>
      <sz val="12.0"/>
      <color rgb="FF000000"/>
      <name val="Arial"/>
    </font>
    <font>
      <sz val="6.0"/>
      <color rgb="FF000000"/>
      <name val="Fira Sans"/>
    </font>
    <font>
      <sz val="9.0"/>
      <color rgb="FF000000"/>
      <name val="Fira Sans"/>
    </font>
    <font>
      <b/>
      <sz val="11.0"/>
      <color rgb="FF000000"/>
      <name val="Fira Sans"/>
    </font>
    <font>
      <sz val="11.0"/>
      <color rgb="FF000000"/>
      <name val="Fira Sans"/>
    </font>
    <font>
      <sz val="17.0"/>
      <color rgb="FF000000"/>
      <name val="Fira Sans"/>
    </font>
    <font>
      <sz val="18.0"/>
      <color rgb="FF000000"/>
      <name val="Fira Sans"/>
    </font>
    <font>
      <sz val="22.0"/>
      <color rgb="FF000000"/>
      <name val="Fira Sans"/>
    </font>
    <font>
      <b/>
      <sz val="10.0"/>
      <color rgb="FF000000"/>
      <name val="Fira Sans"/>
    </font>
    <font>
      <sz val="10.0"/>
      <color rgb="FF000000"/>
      <name val="Fira Sans"/>
    </font>
    <font>
      <color rgb="FF000000"/>
      <name val="Fira Sans"/>
    </font>
    <font>
      <sz val="12.0"/>
      <color rgb="FF000000"/>
      <name val="Fira Sans"/>
    </font>
    <font>
      <color rgb="FF000000"/>
      <name val="Arial"/>
    </font>
    <font>
      <i/>
      <sz val="12.0"/>
      <color rgb="FF000000"/>
      <name val="Arial"/>
    </font>
    <font>
      <sz val="18.0"/>
      <color rgb="FF000000"/>
      <name val="Arial"/>
    </font>
    <font>
      <sz val="19.0"/>
      <color rgb="FF000000"/>
      <name val="Arial"/>
    </font>
    <font>
      <sz val="25.0"/>
      <color rgb="FF000000"/>
      <name val="Arial"/>
    </font>
    <font>
      <sz val="8.0"/>
      <color rgb="FF000000"/>
      <name val="Arial"/>
    </font>
    <font>
      <sz val="9.0"/>
      <color rgb="FF000000"/>
      <name val="Arial"/>
    </font>
    <font>
      <sz val="6.0"/>
      <color rgb="FF000000"/>
      <name val="Arial"/>
    </font>
    <font>
      <b/>
      <sz val="14.0"/>
      <color rgb="FF94A3B8"/>
      <name val="Fira Sans"/>
    </font>
    <font>
      <b/>
      <sz val="20.0"/>
      <color rgb="FF00FF00"/>
      <name val="Fira Sans"/>
    </font>
    <font>
      <b/>
      <sz val="14.0"/>
      <color rgb="FFFFFFFF"/>
      <name val="Fira Sans"/>
    </font>
    <font>
      <sz val="10.0"/>
      <color rgb="FF63D297"/>
      <name val="Fira Sans"/>
    </font>
    <font>
      <sz val="10.0"/>
      <color rgb="FFEB9AFF"/>
      <name val="Fira Sans"/>
    </font>
    <font>
      <sz val="10.0"/>
      <color rgb="FFFFCC80"/>
      <name val="Fira Sans"/>
    </font>
    <font>
      <sz val="10.0"/>
      <color rgb="FFFFEE58"/>
      <name val="Fira Sans"/>
    </font>
    <font>
      <sz val="10.0"/>
      <color rgb="FF06B6D4"/>
      <name val="Fira Sans"/>
    </font>
    <font>
      <sz val="10.0"/>
      <color rgb="FFFF9800"/>
      <name val="Fira Sans"/>
    </font>
    <font>
      <sz val="10.0"/>
      <color rgb="FFB6D7A8"/>
      <name val="Fira Sans"/>
    </font>
    <font>
      <sz val="10.0"/>
      <color rgb="FF6FA8DC"/>
      <name val="Fira Sans"/>
    </font>
    <font>
      <sz val="9.0"/>
      <color rgb="FFCFFAFE"/>
      <name val="Fira Sans"/>
    </font>
    <font>
      <sz val="10.0"/>
      <color rgb="FFFF00FF"/>
      <name val="Fira Sans"/>
    </font>
    <font>
      <b/>
      <sz val="14.0"/>
      <color rgb="FFF1F5F9"/>
      <name val="Fira Sans"/>
    </font>
    <font>
      <b/>
      <sz val="11.0"/>
      <color rgb="FFFFFFFF"/>
      <name val="Fira Sans"/>
    </font>
    <font>
      <b/>
      <sz val="9.0"/>
      <color rgb="FFFFFFFF"/>
      <name val="Fira Sans"/>
    </font>
    <font>
      <b/>
      <sz val="10.0"/>
      <color rgb="FFFFFFFF"/>
      <name val="Fira Sans"/>
    </font>
    <font>
      <b/>
      <sz val="13.0"/>
      <color rgb="FFF1F5F9"/>
      <name val="Fira Sans"/>
    </font>
    <font>
      <b/>
      <color rgb="FFF1F5F9"/>
      <name val="Fira Sans"/>
    </font>
    <font>
      <sz val="12.0"/>
      <color rgb="FFE74C3C"/>
      <name val="Impact"/>
    </font>
    <font>
      <sz val="10.0"/>
      <color rgb="FF94A3B8"/>
      <name val="Impact"/>
    </font>
    <font>
      <b/>
      <sz val="12.0"/>
      <color rgb="FFFFFFFF"/>
      <name val="Fira Sans"/>
    </font>
    <font>
      <b/>
      <sz val="9.0"/>
      <color rgb="FFF1F5F9"/>
      <name val="Fira Sans"/>
    </font>
    <font>
      <sz val="12.0"/>
      <color rgb="FFE67E22"/>
      <name val="Impact"/>
    </font>
    <font>
      <b/>
      <sz val="8.0"/>
      <color rgb="FFFFFFFF"/>
      <name val="Fira Sans"/>
    </font>
    <font/>
    <font>
      <b/>
      <sz val="10.0"/>
      <color rgb="FF94A3B8"/>
      <name val="Fira Sans"/>
    </font>
    <font>
      <sz val="10.0"/>
      <color rgb="FF51CF66"/>
      <name val="Impact"/>
    </font>
    <font>
      <sz val="10.0"/>
      <color rgb="FFFF9900"/>
      <name val="Impact"/>
    </font>
    <font>
      <color theme="1"/>
      <name val="Arial"/>
    </font>
    <font>
      <sz val="12.0"/>
      <color rgb="FFF1C40F"/>
      <name val="Impact"/>
    </font>
    <font>
      <sz val="12.0"/>
      <color rgb="FF2ECC71"/>
      <name val="Impact"/>
    </font>
    <font>
      <sz val="12.0"/>
      <color rgb="FF3498DB"/>
      <name val="Impact"/>
    </font>
    <font>
      <b/>
      <sz val="10.0"/>
      <color rgb="FFF3D9FA"/>
      <name val="Impact"/>
    </font>
    <font>
      <sz val="12.0"/>
      <color rgb="FF9B59B6"/>
      <name val="Impact"/>
    </font>
    <font>
      <b/>
      <sz val="13.0"/>
      <color rgb="FFFFFFFF"/>
      <name val="Fira Sans"/>
    </font>
    <font>
      <b/>
      <sz val="10.0"/>
      <color rgb="FFCC5DE8"/>
      <name val="Impact"/>
    </font>
    <font>
      <sz val="12.0"/>
      <color rgb="FFE91E63"/>
      <name val="Impact"/>
    </font>
    <font>
      <b/>
      <sz val="10.0"/>
      <color rgb="FF06B6D4"/>
      <name val="Impact"/>
    </font>
    <font>
      <b/>
      <sz val="10.0"/>
      <color rgb="FFF1F5F9"/>
      <name val="Fira Sans"/>
    </font>
    <font>
      <sz val="14.0"/>
      <color rgb="FF1ABC9C"/>
      <name val="Impact"/>
    </font>
    <font>
      <b/>
      <sz val="11.0"/>
      <color rgb="FF1ABC9C"/>
      <name val="Impact"/>
    </font>
    <font>
      <sz val="12.0"/>
      <color rgb="FFFFFFFF"/>
      <name val="Impact"/>
    </font>
    <font>
      <sz val="14.0"/>
      <color rgb="FF3498DB"/>
      <name val="Impact"/>
    </font>
    <font>
      <b/>
      <sz val="11.0"/>
      <color rgb="FF3498DB"/>
      <name val="Impact"/>
    </font>
    <font>
      <b/>
      <sz val="12.0"/>
      <color rgb="FF00FF00"/>
      <name val="Impact"/>
    </font>
    <font>
      <sz val="14.0"/>
      <color rgb="FFF39C12"/>
      <name val="Impact"/>
    </font>
    <font>
      <b/>
      <sz val="11.0"/>
      <color rgb="FFF39C12"/>
      <name val="Impact"/>
    </font>
    <font>
      <b/>
      <sz val="13.0"/>
      <color rgb="FFFFFFFF"/>
      <name val="Impact"/>
    </font>
    <font>
      <sz val="14.0"/>
      <color rgb="FF9B59B6"/>
      <name val="Impact"/>
    </font>
    <font>
      <b/>
      <sz val="11.0"/>
      <color rgb="FF9B59B6"/>
      <name val="Impact"/>
    </font>
    <font>
      <b/>
      <sz val="18.0"/>
      <color rgb="FF2C3E50"/>
      <name val="Arial"/>
    </font>
    <font>
      <sz val="16.0"/>
      <color rgb="FF000000"/>
      <name val="Impact"/>
    </font>
    <font>
      <sz val="14.0"/>
      <color rgb="FFE74C3C"/>
      <name val="Impact"/>
    </font>
    <font>
      <b/>
      <sz val="11.0"/>
      <color rgb="FFE74C3C"/>
      <name val="Impact"/>
    </font>
    <font>
      <color rgb="FF2C3E50"/>
      <name val="Arial"/>
    </font>
    <font>
      <color rgb="FF9900FF"/>
      <name val="Arial"/>
    </font>
    <font>
      <b/>
      <sz val="12.0"/>
      <color rgb="FFFFFFFF"/>
      <name val="Arial"/>
    </font>
    <font>
      <b/>
      <i/>
      <sz val="12.0"/>
      <color rgb="FFFFFFFF"/>
      <name val="Arial"/>
    </font>
    <font>
      <b/>
      <sz val="13.0"/>
      <color rgb="FFFFFFFF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sz val="12.0"/>
      <color theme="1"/>
      <name val="Arial"/>
    </font>
    <font>
      <sz val="18.0"/>
      <color theme="1"/>
      <name val="Arial"/>
    </font>
    <font>
      <color theme="1"/>
      <name val="Arial"/>
      <scheme val="minor"/>
    </font>
    <font>
      <b/>
      <sz val="12.0"/>
      <color rgb="FFFF0000"/>
      <name val="Rowdies"/>
    </font>
    <font>
      <b/>
      <color rgb="FFFF0000"/>
      <name val="Rowdies"/>
    </font>
    <font>
      <color rgb="FFFF0000"/>
      <name val="Rowdies"/>
    </font>
    <font>
      <b/>
      <color rgb="FF434343"/>
      <name val="Rowdies"/>
    </font>
    <font>
      <color rgb="FF999999"/>
      <name val="Rowdies"/>
    </font>
    <font>
      <color rgb="FFB7B7B7"/>
      <name val="Rowdies"/>
    </font>
    <font>
      <color rgb="FF434343"/>
      <name val="Rowdies"/>
    </font>
    <font>
      <b/>
      <sz val="14.0"/>
      <color theme="1"/>
      <name val="Arial"/>
    </font>
    <font>
      <b/>
      <sz val="14.0"/>
      <color theme="1"/>
      <name val="-webkit-standard"/>
    </font>
  </fonts>
  <fills count="13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1E293B"/>
        <bgColor rgb="FF1E293B"/>
      </patternFill>
    </fill>
    <fill>
      <patternFill patternType="solid">
        <fgColor rgb="FF374356"/>
        <bgColor rgb="FF374356"/>
      </patternFill>
    </fill>
    <fill>
      <patternFill patternType="solid">
        <fgColor rgb="FF475569"/>
        <bgColor rgb="FF475569"/>
      </patternFill>
    </fill>
    <fill>
      <patternFill patternType="solid">
        <fgColor rgb="FF34495E"/>
        <bgColor rgb="FF34495E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F9EF"/>
        <bgColor rgb="FFE7F9EF"/>
      </patternFill>
    </fill>
    <fill>
      <patternFill patternType="solid">
        <fgColor rgb="FF63D297"/>
        <bgColor rgb="FF63D297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475569"/>
      </right>
    </border>
    <border>
      <top style="thick">
        <color rgb="FF000000"/>
      </top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0"/>
    </xf>
    <xf borderId="1" fillId="3" fontId="3" numFmtId="0" xfId="0" applyAlignment="1" applyBorder="1" applyFont="1">
      <alignment horizontal="center" shrinkToFit="0" vertical="center" wrapText="1"/>
    </xf>
    <xf borderId="0" fillId="3" fontId="4" numFmtId="0" xfId="0" applyFont="1"/>
    <xf borderId="0" fillId="3" fontId="5" numFmtId="0" xfId="0" applyFont="1"/>
    <xf borderId="1" fillId="3" fontId="6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vertical="center"/>
    </xf>
    <xf borderId="1" fillId="3" fontId="9" numFmtId="0" xfId="0" applyAlignment="1" applyBorder="1" applyFont="1">
      <alignment horizontal="center" vertical="center"/>
    </xf>
    <xf borderId="1" fillId="3" fontId="10" numFmtId="0" xfId="0" applyAlignment="1" applyBorder="1" applyFont="1">
      <alignment horizontal="center" shrinkToFit="0" vertical="center" wrapText="0"/>
    </xf>
    <xf borderId="2" fillId="3" fontId="11" numFmtId="0" xfId="0" applyAlignment="1" applyBorder="1" applyFont="1">
      <alignment horizontal="center" vertical="center"/>
    </xf>
    <xf borderId="3" fillId="3" fontId="12" numFmtId="0" xfId="0" applyAlignment="1" applyBorder="1" applyFont="1">
      <alignment horizontal="center" vertical="center"/>
    </xf>
    <xf borderId="1" fillId="3" fontId="13" numFmtId="0" xfId="0" applyAlignment="1" applyBorder="1" applyFont="1">
      <alignment horizontal="center" shrinkToFit="0" vertical="center" wrapText="1"/>
    </xf>
    <xf borderId="1" fillId="3" fontId="14" numFmtId="0" xfId="0" applyAlignment="1" applyBorder="1" applyFont="1">
      <alignment horizontal="center" shrinkToFit="0" vertical="center" wrapText="1"/>
    </xf>
    <xf borderId="1" fillId="3" fontId="15" numFmtId="0" xfId="0" applyAlignment="1" applyBorder="1" applyFont="1">
      <alignment horizontal="center" vertical="center"/>
    </xf>
    <xf borderId="1" fillId="3" fontId="16" numFmtId="0" xfId="0" applyAlignment="1" applyBorder="1" applyFont="1">
      <alignment horizontal="center" vertical="center"/>
    </xf>
    <xf borderId="0" fillId="3" fontId="16" numFmtId="0" xfId="0" applyAlignment="1" applyFont="1">
      <alignment horizontal="center" vertical="center"/>
    </xf>
    <xf borderId="0" fillId="3" fontId="17" numFmtId="0" xfId="0" applyFont="1"/>
    <xf borderId="0" fillId="3" fontId="18" numFmtId="0" xfId="0" applyFont="1"/>
    <xf borderId="1" fillId="3" fontId="19" numFmtId="0" xfId="0" applyAlignment="1" applyBorder="1" applyFont="1">
      <alignment horizontal="center" shrinkToFit="0" vertical="center" wrapText="0"/>
    </xf>
    <xf borderId="0" fillId="3" fontId="20" numFmtId="0" xfId="0" applyAlignment="1" applyFont="1">
      <alignment shrinkToFit="0" wrapText="1"/>
    </xf>
    <xf borderId="0" fillId="3" fontId="21" numFmtId="0" xfId="0" applyAlignment="1" applyFont="1">
      <alignment horizontal="center" shrinkToFit="0" vertical="center" wrapText="1"/>
    </xf>
    <xf borderId="0" fillId="3" fontId="17" numFmtId="0" xfId="0" applyAlignment="1" applyFont="1">
      <alignment shrinkToFit="0" wrapText="1"/>
    </xf>
    <xf borderId="0" fillId="3" fontId="22" numFmtId="0" xfId="0" applyFont="1"/>
    <xf borderId="0" fillId="3" fontId="23" numFmtId="0" xfId="0" applyAlignment="1" applyFont="1">
      <alignment shrinkToFit="0" wrapText="1"/>
    </xf>
    <xf borderId="0" fillId="3" fontId="24" numFmtId="0" xfId="0" applyAlignment="1" applyFont="1">
      <alignment shrinkToFit="0" wrapText="1"/>
    </xf>
    <xf borderId="0" fillId="3" fontId="19" numFmtId="0" xfId="0" applyFont="1"/>
    <xf borderId="0" fillId="3" fontId="25" numFmtId="164" xfId="0" applyAlignment="1" applyFont="1" applyNumberFormat="1">
      <alignment horizontal="center" vertical="center"/>
    </xf>
    <xf borderId="0" fillId="4" fontId="1" numFmtId="165" xfId="0" applyAlignment="1" applyFill="1" applyFont="1" applyNumberFormat="1">
      <alignment horizontal="center" vertical="center"/>
    </xf>
    <xf borderId="0" fillId="5" fontId="1" numFmtId="0" xfId="0" applyAlignment="1" applyFill="1" applyFont="1">
      <alignment horizontal="center" vertical="center"/>
    </xf>
    <xf borderId="0" fillId="4" fontId="1" numFmtId="0" xfId="0" applyAlignment="1" applyFont="1">
      <alignment horizontal="center" vertical="center"/>
    </xf>
    <xf borderId="0" fillId="5" fontId="1" numFmtId="165" xfId="0" applyAlignment="1" applyFont="1" applyNumberFormat="1">
      <alignment horizontal="center" vertical="center"/>
    </xf>
    <xf borderId="0" fillId="6" fontId="1" numFmtId="0" xfId="0" applyAlignment="1" applyFill="1" applyFont="1">
      <alignment horizontal="center" vertical="center"/>
    </xf>
    <xf borderId="0" fillId="5" fontId="26" numFmtId="9" xfId="0" applyAlignment="1" applyFont="1" applyNumberFormat="1">
      <alignment horizontal="center" vertical="center"/>
    </xf>
    <xf borderId="0" fillId="4" fontId="27" numFmtId="0" xfId="0" applyAlignment="1" applyFont="1">
      <alignment horizontal="center" vertical="center"/>
    </xf>
    <xf borderId="0" fillId="3" fontId="28" numFmtId="0" xfId="0" applyAlignment="1" applyFont="1">
      <alignment horizontal="center" vertical="center"/>
    </xf>
    <xf borderId="0" fillId="3" fontId="29" numFmtId="0" xfId="0" applyAlignment="1" applyFont="1">
      <alignment horizontal="center" vertical="center"/>
    </xf>
    <xf borderId="0" fillId="3" fontId="30" numFmtId="0" xfId="0" applyAlignment="1" applyFont="1">
      <alignment horizontal="center" vertical="center"/>
    </xf>
    <xf borderId="0" fillId="3" fontId="31" numFmtId="0" xfId="0" applyAlignment="1" applyFont="1">
      <alignment horizontal="center" vertical="center"/>
    </xf>
    <xf borderId="0" fillId="3" fontId="32" numFmtId="0" xfId="0" applyAlignment="1" applyFont="1">
      <alignment horizontal="center" vertical="center"/>
    </xf>
    <xf borderId="0" fillId="3" fontId="33" numFmtId="0" xfId="0" applyAlignment="1" applyFont="1">
      <alignment horizontal="center" vertical="center"/>
    </xf>
    <xf borderId="0" fillId="3" fontId="34" numFmtId="0" xfId="0" applyAlignment="1" applyFont="1">
      <alignment horizontal="center" vertical="center"/>
    </xf>
    <xf borderId="0" fillId="3" fontId="35" numFmtId="0" xfId="0" applyAlignment="1" applyFont="1">
      <alignment horizontal="center" vertical="center"/>
    </xf>
    <xf borderId="0" fillId="3" fontId="36" numFmtId="0" xfId="0" applyAlignment="1" applyFont="1">
      <alignment horizontal="center" vertical="center"/>
    </xf>
    <xf borderId="0" fillId="3" fontId="37" numFmtId="0" xfId="0" applyAlignment="1" applyFont="1">
      <alignment horizontal="center" vertical="center"/>
    </xf>
    <xf borderId="0" fillId="7" fontId="38" numFmtId="0" xfId="0" applyAlignment="1" applyFill="1" applyFont="1">
      <alignment horizontal="center" vertical="center"/>
    </xf>
    <xf borderId="0" fillId="7" fontId="39" numFmtId="0" xfId="0" applyAlignment="1" applyFont="1">
      <alignment horizontal="center" vertical="center"/>
    </xf>
    <xf borderId="0" fillId="7" fontId="40" numFmtId="0" xfId="0" applyAlignment="1" applyFont="1">
      <alignment horizontal="center" shrinkToFit="0" vertical="center" wrapText="1"/>
    </xf>
    <xf borderId="0" fillId="7" fontId="41" numFmtId="0" xfId="0" applyAlignment="1" applyFont="1">
      <alignment horizontal="center" shrinkToFit="0" vertical="center" wrapText="1"/>
    </xf>
    <xf borderId="0" fillId="7" fontId="42" numFmtId="0" xfId="0" applyAlignment="1" applyFont="1">
      <alignment horizontal="center" vertical="center"/>
    </xf>
    <xf borderId="0" fillId="5" fontId="43" numFmtId="0" xfId="0" applyAlignment="1" applyFont="1">
      <alignment horizontal="center" vertical="center"/>
    </xf>
    <xf borderId="0" fillId="3" fontId="44" numFmtId="0" xfId="0" applyAlignment="1" applyFont="1">
      <alignment horizontal="left" vertical="center"/>
    </xf>
    <xf borderId="0" fillId="2" fontId="45" numFmtId="0" xfId="0" applyAlignment="1" applyFont="1">
      <alignment horizontal="center" vertical="center"/>
    </xf>
    <xf borderId="2" fillId="6" fontId="46" numFmtId="0" xfId="0" applyAlignment="1" applyBorder="1" applyFont="1">
      <alignment horizontal="center" shrinkToFit="0" vertical="center" wrapText="1"/>
    </xf>
    <xf borderId="4" fillId="6" fontId="46" numFmtId="0" xfId="0" applyAlignment="1" applyBorder="1" applyFont="1">
      <alignment horizontal="center" shrinkToFit="0" vertical="center" wrapText="1"/>
    </xf>
    <xf borderId="5" fillId="6" fontId="46" numFmtId="0" xfId="0" applyAlignment="1" applyBorder="1" applyFont="1">
      <alignment horizontal="center" shrinkToFit="0" vertical="center" wrapText="1"/>
    </xf>
    <xf borderId="0" fillId="3" fontId="47" numFmtId="0" xfId="0" applyAlignment="1" applyFont="1">
      <alignment horizontal="center" vertical="center"/>
    </xf>
    <xf borderId="0" fillId="0" fontId="4" numFmtId="0" xfId="0" applyFont="1"/>
    <xf borderId="0" fillId="3" fontId="48" numFmtId="0" xfId="0" applyAlignment="1" applyFont="1">
      <alignment horizontal="left" vertical="center"/>
    </xf>
    <xf borderId="4" fillId="6" fontId="49" numFmtId="0" xfId="0" applyAlignment="1" applyBorder="1" applyFont="1">
      <alignment horizontal="center" shrinkToFit="0" vertical="center" wrapText="1"/>
    </xf>
    <xf borderId="4" fillId="6" fontId="40" numFmtId="0" xfId="0" applyAlignment="1" applyBorder="1" applyFont="1">
      <alignment horizontal="center" shrinkToFit="0" vertical="center" wrapText="1"/>
    </xf>
    <xf borderId="5" fillId="0" fontId="50" numFmtId="0" xfId="0" applyBorder="1" applyFont="1"/>
    <xf borderId="6" fillId="3" fontId="51" numFmtId="0" xfId="0" applyAlignment="1" applyBorder="1" applyFont="1">
      <alignment horizontal="right" vertical="center"/>
    </xf>
    <xf borderId="0" fillId="2" fontId="52" numFmtId="0" xfId="0" applyAlignment="1" applyFont="1">
      <alignment horizontal="center" vertical="center"/>
    </xf>
    <xf borderId="0" fillId="2" fontId="53" numFmtId="0" xfId="0" applyAlignment="1" applyFont="1">
      <alignment horizontal="center" vertical="center"/>
    </xf>
    <xf borderId="0" fillId="0" fontId="54" numFmtId="20" xfId="0" applyFont="1" applyNumberFormat="1"/>
    <xf borderId="0" fillId="3" fontId="55" numFmtId="0" xfId="0" applyAlignment="1" applyFont="1">
      <alignment horizontal="left" vertical="center"/>
    </xf>
    <xf borderId="0" fillId="5" fontId="52" numFmtId="0" xfId="0" applyAlignment="1" applyFont="1">
      <alignment horizontal="center" vertical="center"/>
    </xf>
    <xf borderId="0" fillId="5" fontId="53" numFmtId="0" xfId="0" applyAlignment="1" applyFont="1">
      <alignment horizontal="center" vertical="center"/>
    </xf>
    <xf borderId="0" fillId="5" fontId="45" numFmtId="0" xfId="0" applyAlignment="1" applyFont="1">
      <alignment horizontal="center" vertical="center"/>
    </xf>
    <xf borderId="0" fillId="3" fontId="56" numFmtId="0" xfId="0" applyAlignment="1" applyFont="1">
      <alignment horizontal="left" vertical="center"/>
    </xf>
    <xf borderId="0" fillId="3" fontId="57" numFmtId="0" xfId="0" applyAlignment="1" applyFont="1">
      <alignment horizontal="left" vertical="center"/>
    </xf>
    <xf borderId="7" fillId="5" fontId="58" numFmtId="0" xfId="0" applyAlignment="1" applyBorder="1" applyFont="1">
      <alignment horizontal="center" vertical="center"/>
    </xf>
    <xf borderId="7" fillId="0" fontId="50" numFmtId="0" xfId="0" applyBorder="1" applyFont="1"/>
    <xf borderId="0" fillId="3" fontId="59" numFmtId="0" xfId="0" applyAlignment="1" applyFont="1">
      <alignment horizontal="left" vertical="center"/>
    </xf>
    <xf borderId="4" fillId="6" fontId="46" numFmtId="20" xfId="0" applyAlignment="1" applyBorder="1" applyFont="1" applyNumberFormat="1">
      <alignment horizontal="center" shrinkToFit="0" vertical="center" wrapText="1"/>
    </xf>
    <xf borderId="4" fillId="6" fontId="60" numFmtId="0" xfId="0" applyAlignment="1" applyBorder="1" applyFont="1">
      <alignment horizontal="center" shrinkToFit="0" vertical="center" wrapText="1"/>
    </xf>
    <xf borderId="0" fillId="2" fontId="61" numFmtId="0" xfId="0" applyAlignment="1" applyFont="1">
      <alignment horizontal="center" vertical="center"/>
    </xf>
    <xf borderId="0" fillId="3" fontId="62" numFmtId="0" xfId="0" applyAlignment="1" applyFont="1">
      <alignment horizontal="left" vertical="center"/>
    </xf>
    <xf borderId="0" fillId="6" fontId="63" numFmtId="0" xfId="0" applyAlignment="1" applyFont="1">
      <alignment horizontal="center" vertical="center"/>
    </xf>
    <xf borderId="0" fillId="8" fontId="42" numFmtId="0" xfId="0" applyAlignment="1" applyFill="1" applyFont="1">
      <alignment horizontal="center" vertical="center"/>
    </xf>
    <xf borderId="0" fillId="5" fontId="64" numFmtId="0" xfId="0" applyAlignment="1" applyFont="1">
      <alignment horizontal="center" vertical="center"/>
    </xf>
    <xf borderId="0" fillId="3" fontId="65" numFmtId="0" xfId="0" applyAlignment="1" applyFont="1">
      <alignment horizontal="left" vertical="center"/>
    </xf>
    <xf borderId="0" fillId="2" fontId="66" numFmtId="9" xfId="0" applyAlignment="1" applyFont="1" applyNumberFormat="1">
      <alignment horizontal="center" vertical="center"/>
    </xf>
    <xf borderId="0" fillId="5" fontId="67" numFmtId="0" xfId="0" applyAlignment="1" applyFont="1">
      <alignment horizontal="center" vertical="center"/>
    </xf>
    <xf borderId="0" fillId="3" fontId="68" numFmtId="0" xfId="0" applyAlignment="1" applyFont="1">
      <alignment horizontal="left" vertical="center"/>
    </xf>
    <xf borderId="0" fillId="2" fontId="69" numFmtId="9" xfId="0" applyAlignment="1" applyFont="1" applyNumberFormat="1">
      <alignment horizontal="center" vertical="center"/>
    </xf>
    <xf borderId="0" fillId="2" fontId="70" numFmtId="0" xfId="0" applyAlignment="1" applyFont="1">
      <alignment horizontal="center" vertical="center"/>
    </xf>
    <xf borderId="0" fillId="3" fontId="71" numFmtId="0" xfId="0" applyAlignment="1" applyFont="1">
      <alignment horizontal="left" vertical="center"/>
    </xf>
    <xf borderId="0" fillId="2" fontId="72" numFmtId="9" xfId="0" applyAlignment="1" applyFont="1" applyNumberFormat="1">
      <alignment horizontal="center" vertical="center"/>
    </xf>
    <xf borderId="0" fillId="5" fontId="73" numFmtId="0" xfId="0" applyAlignment="1" applyFont="1">
      <alignment horizontal="center" vertical="center"/>
    </xf>
    <xf borderId="0" fillId="3" fontId="74" numFmtId="0" xfId="0" applyAlignment="1" applyFont="1">
      <alignment horizontal="left" vertical="center"/>
    </xf>
    <xf borderId="0" fillId="2" fontId="75" numFmtId="9" xfId="0" applyAlignment="1" applyFont="1" applyNumberFormat="1">
      <alignment horizontal="center" vertical="center"/>
    </xf>
    <xf borderId="0" fillId="6" fontId="73" numFmtId="0" xfId="0" applyAlignment="1" applyFont="1">
      <alignment horizontal="center" vertical="center"/>
    </xf>
    <xf borderId="1" fillId="6" fontId="46" numFmtId="0" xfId="0" applyAlignment="1" applyBorder="1" applyFont="1">
      <alignment horizontal="center" shrinkToFit="0" vertical="center" wrapText="1"/>
    </xf>
    <xf borderId="1" fillId="6" fontId="46" numFmtId="20" xfId="0" applyAlignment="1" applyBorder="1" applyFont="1" applyNumberFormat="1">
      <alignment horizontal="center" vertical="center"/>
    </xf>
    <xf borderId="1" fillId="6" fontId="60" numFmtId="0" xfId="0" applyAlignment="1" applyBorder="1" applyFont="1">
      <alignment horizontal="center" vertical="center"/>
    </xf>
    <xf borderId="1" fillId="6" fontId="49" numFmtId="0" xfId="0" applyAlignment="1" applyBorder="1" applyFont="1">
      <alignment horizontal="center" shrinkToFit="0" vertical="center" wrapText="1"/>
    </xf>
    <xf borderId="2" fillId="6" fontId="40" numFmtId="0" xfId="0" applyAlignment="1" applyBorder="1" applyFont="1">
      <alignment horizontal="center" shrinkToFit="0" vertical="center" wrapText="1"/>
    </xf>
    <xf borderId="0" fillId="5" fontId="76" numFmtId="0" xfId="0" applyAlignment="1" applyFont="1">
      <alignment horizontal="center" vertical="center"/>
    </xf>
    <xf borderId="0" fillId="3" fontId="77" numFmtId="0" xfId="0" applyAlignment="1" applyFont="1">
      <alignment horizontal="left" vertical="center"/>
    </xf>
    <xf borderId="0" fillId="2" fontId="45" numFmtId="9" xfId="0" applyAlignment="1" applyFont="1" applyNumberFormat="1">
      <alignment horizontal="center" vertical="center"/>
    </xf>
    <xf borderId="0" fillId="3" fontId="78" numFmtId="0" xfId="0" applyAlignment="1" applyFont="1">
      <alignment horizontal="left" vertical="center"/>
    </xf>
    <xf borderId="0" fillId="2" fontId="79" numFmtId="9" xfId="0" applyAlignment="1" applyFont="1" applyNumberFormat="1">
      <alignment horizontal="center" vertical="center"/>
    </xf>
    <xf borderId="0" fillId="5" fontId="80" numFmtId="0" xfId="0" applyFont="1"/>
    <xf borderId="0" fillId="6" fontId="54" numFmtId="0" xfId="0" applyFont="1"/>
    <xf borderId="0" fillId="6" fontId="77" numFmtId="0" xfId="0" applyFont="1"/>
    <xf borderId="0" fillId="5" fontId="81" numFmtId="0" xfId="0" applyFont="1"/>
    <xf borderId="4" fillId="0" fontId="50" numFmtId="0" xfId="0" applyBorder="1" applyFont="1"/>
    <xf borderId="0" fillId="0" fontId="54" numFmtId="9" xfId="0" applyFont="1" applyNumberFormat="1"/>
    <xf borderId="1" fillId="6" fontId="46" numFmtId="0" xfId="0" applyBorder="1" applyFont="1"/>
    <xf borderId="1" fillId="6" fontId="60" numFmtId="0" xfId="0" applyBorder="1" applyFont="1"/>
    <xf borderId="1" fillId="6" fontId="49" numFmtId="0" xfId="0" applyBorder="1" applyFont="1"/>
    <xf borderId="0" fillId="6" fontId="46" numFmtId="0" xfId="0" applyFont="1"/>
    <xf borderId="0" fillId="6" fontId="46" numFmtId="20" xfId="0" applyFont="1" applyNumberFormat="1"/>
    <xf borderId="0" fillId="6" fontId="60" numFmtId="0" xfId="0" applyFont="1"/>
    <xf borderId="0" fillId="6" fontId="49" numFmtId="0" xfId="0" applyFont="1"/>
    <xf borderId="0" fillId="6" fontId="40" numFmtId="0" xfId="0" applyFont="1"/>
    <xf borderId="1" fillId="9" fontId="82" numFmtId="0" xfId="0" applyAlignment="1" applyBorder="1" applyFill="1" applyFont="1">
      <alignment horizontal="center" shrinkToFit="0" vertical="center" wrapText="1"/>
    </xf>
    <xf borderId="1" fillId="9" fontId="83" numFmtId="0" xfId="0" applyAlignment="1" applyBorder="1" applyFont="1">
      <alignment horizontal="center" shrinkToFit="0" vertical="center" wrapText="1"/>
    </xf>
    <xf borderId="1" fillId="9" fontId="84" numFmtId="0" xfId="0" applyAlignment="1" applyBorder="1" applyFont="1">
      <alignment horizontal="center" shrinkToFit="0" vertical="center" wrapText="1"/>
    </xf>
    <xf borderId="1" fillId="9" fontId="85" numFmtId="0" xfId="0" applyAlignment="1" applyBorder="1" applyFont="1">
      <alignment horizontal="center" shrinkToFit="0" vertical="center" wrapText="1"/>
    </xf>
    <xf borderId="1" fillId="9" fontId="86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87" numFmtId="0" xfId="0" applyAlignment="1" applyFont="1">
      <alignment horizontal="center" shrinkToFit="0" vertical="center" wrapText="1"/>
    </xf>
    <xf borderId="0" fillId="0" fontId="87" numFmtId="20" xfId="0" applyAlignment="1" applyFont="1" applyNumberFormat="1">
      <alignment horizontal="center" shrinkToFit="0" vertical="center" wrapText="1"/>
    </xf>
    <xf borderId="0" fillId="0" fontId="88" numFmtId="0" xfId="0" applyAlignment="1" applyFont="1">
      <alignment horizontal="center" shrinkToFit="0" vertical="center" wrapText="1"/>
    </xf>
    <xf borderId="0" fillId="0" fontId="87" numFmtId="166" xfId="0" applyAlignment="1" applyFont="1" applyNumberFormat="1">
      <alignment horizontal="center" shrinkToFit="0" vertical="center" wrapText="1"/>
    </xf>
    <xf borderId="0" fillId="0" fontId="89" numFmtId="0" xfId="0" applyFont="1"/>
    <xf borderId="0" fillId="0" fontId="90" numFmtId="0" xfId="0" applyAlignment="1" applyFont="1">
      <alignment horizontal="center" vertical="center"/>
    </xf>
    <xf borderId="1" fillId="10" fontId="91" numFmtId="0" xfId="0" applyAlignment="1" applyBorder="1" applyFill="1" applyFont="1">
      <alignment horizontal="right" shrinkToFit="0" vertical="center" wrapText="0"/>
    </xf>
    <xf borderId="1" fillId="10" fontId="91" numFmtId="0" xfId="0" applyAlignment="1" applyBorder="1" applyFont="1">
      <alignment horizontal="center" vertical="center"/>
    </xf>
    <xf borderId="0" fillId="0" fontId="54" numFmtId="0" xfId="0" applyFont="1"/>
    <xf borderId="1" fillId="10" fontId="92" numFmtId="0" xfId="0" applyAlignment="1" applyBorder="1" applyFont="1">
      <alignment horizontal="center" vertical="center"/>
    </xf>
    <xf borderId="1" fillId="10" fontId="93" numFmtId="0" xfId="0" applyAlignment="1" applyBorder="1" applyFont="1">
      <alignment horizontal="center" vertical="center"/>
    </xf>
    <xf borderId="1" fillId="10" fontId="94" numFmtId="0" xfId="0" applyAlignment="1" applyBorder="1" applyFont="1">
      <alignment horizontal="center" vertical="center"/>
    </xf>
    <xf borderId="1" fillId="10" fontId="95" numFmtId="0" xfId="0" applyAlignment="1" applyBorder="1" applyFont="1">
      <alignment horizontal="center" vertical="center"/>
    </xf>
    <xf borderId="1" fillId="10" fontId="96" numFmtId="0" xfId="0" applyAlignment="1" applyBorder="1" applyFont="1">
      <alignment horizontal="center" vertical="center"/>
    </xf>
    <xf borderId="0" fillId="11" fontId="54" numFmtId="0" xfId="0" applyAlignment="1" applyFill="1" applyFont="1">
      <alignment horizontal="right" vertical="bottom"/>
    </xf>
    <xf borderId="0" fillId="11" fontId="54" numFmtId="0" xfId="0" applyAlignment="1" applyFont="1">
      <alignment vertical="bottom"/>
    </xf>
    <xf borderId="1" fillId="10" fontId="93" numFmtId="0" xfId="0" applyAlignment="1" applyBorder="1" applyFont="1">
      <alignment horizontal="center" shrinkToFit="0" vertical="center" wrapText="0"/>
    </xf>
    <xf borderId="0" fillId="10" fontId="54" numFmtId="0" xfId="0" applyAlignment="1" applyFont="1">
      <alignment horizontal="right" vertical="bottom"/>
    </xf>
    <xf borderId="0" fillId="10" fontId="54" numFmtId="0" xfId="0" applyAlignment="1" applyFont="1">
      <alignment vertical="bottom"/>
    </xf>
    <xf borderId="0" fillId="0" fontId="54" numFmtId="0" xfId="0" applyAlignment="1" applyFont="1">
      <alignment horizontal="right" vertical="bottom"/>
    </xf>
    <xf borderId="0" fillId="0" fontId="54" numFmtId="0" xfId="0" applyAlignment="1" applyFont="1">
      <alignment vertical="bottom"/>
    </xf>
    <xf borderId="1" fillId="0" fontId="94" numFmtId="0" xfId="0" applyAlignment="1" applyBorder="1" applyFont="1">
      <alignment horizontal="center" vertical="center"/>
    </xf>
    <xf borderId="0" fillId="0" fontId="97" numFmtId="0" xfId="0" applyAlignment="1" applyFont="1">
      <alignment horizontal="center" vertical="bottom"/>
    </xf>
    <xf borderId="0" fillId="0" fontId="97" numFmtId="0" xfId="0" applyAlignment="1" applyFont="1">
      <alignment shrinkToFit="0" vertical="bottom" wrapText="0"/>
    </xf>
    <xf borderId="0" fillId="0" fontId="98" numFmtId="0" xfId="0" applyAlignment="1" applyFont="1">
      <alignment horizontal="center" vertical="bottom"/>
    </xf>
    <xf borderId="0" fillId="0" fontId="17" numFmtId="0" xfId="0" applyFont="1"/>
    <xf borderId="0" fillId="0" fontId="54" numFmtId="0" xfId="0" applyFont="1"/>
    <xf borderId="0" fillId="10" fontId="54" numFmtId="0" xfId="0" applyFont="1"/>
    <xf borderId="0" fillId="0" fontId="54" numFmtId="14" xfId="0" applyAlignment="1" applyFont="1" applyNumberFormat="1">
      <alignment vertical="bottom"/>
    </xf>
    <xf borderId="0" fillId="12" fontId="97" numFmtId="164" xfId="0" applyAlignment="1" applyFill="1" applyFont="1" applyNumberFormat="1">
      <alignment horizontal="center" shrinkToFit="0" vertical="center" wrapText="1"/>
    </xf>
    <xf borderId="0" fillId="12" fontId="87" numFmtId="164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13">
    <dxf>
      <font/>
      <fill>
        <patternFill patternType="solid">
          <fgColor rgb="FFB5C2D5"/>
          <bgColor rgb="FFB5C2D5"/>
        </patternFill>
      </fill>
      <border/>
    </dxf>
    <dxf>
      <font/>
      <fill>
        <patternFill patternType="solid">
          <fgColor rgb="FF94A3B8"/>
          <bgColor rgb="FF94A3B8"/>
        </patternFill>
      </fill>
      <border/>
    </dxf>
    <dxf>
      <font>
        <color rgb="FFE7F9EF"/>
      </font>
      <fill>
        <patternFill patternType="solid">
          <fgColor rgb="FF0F172A"/>
          <bgColor rgb="FF0F172A"/>
        </patternFill>
      </fill>
      <border/>
    </dxf>
    <dxf>
      <font/>
      <fill>
        <patternFill patternType="solid">
          <fgColor rgb="FF64748B"/>
          <bgColor rgb="FF64748B"/>
        </patternFill>
      </fill>
      <border/>
    </dxf>
    <dxf>
      <font/>
      <fill>
        <patternFill patternType="solid">
          <fgColor rgb="FFFFF59D"/>
          <bgColor rgb="FFFFF59D"/>
        </patternFill>
      </fill>
      <border/>
    </dxf>
    <dxf>
      <font/>
      <fill>
        <patternFill patternType="solid">
          <fgColor rgb="FFFFEE58"/>
          <bgColor rgb="FFFFEE58"/>
        </patternFill>
      </fill>
      <border/>
    </dxf>
    <dxf>
      <font/>
      <fill>
        <patternFill patternType="solid">
          <fgColor rgb="FFFDD835"/>
          <bgColor rgb="FFFDD835"/>
        </patternFill>
      </fill>
      <border/>
    </dxf>
    <dxf>
      <font/>
      <fill>
        <patternFill patternType="solid">
          <fgColor rgb="FFFFCC80"/>
          <bgColor rgb="FFFFCC80"/>
        </patternFill>
      </fill>
      <border/>
    </dxf>
    <dxf>
      <font/>
      <fill>
        <patternFill patternType="solid">
          <fgColor rgb="FFFF9800"/>
          <bgColor rgb="FFFF98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4">
    <tableStyle count="2" pivot="0" name="HIST-style">
      <tableStyleElement dxfId="11" type="firstRowStripe"/>
      <tableStyleElement dxfId="12" type="secondRowStripe"/>
    </tableStyle>
    <tableStyle count="2" pivot="0" name="SET-style">
      <tableStyleElement dxfId="11" type="firstRowStripe"/>
      <tableStyleElement dxfId="12" type="secondRowStripe"/>
    </tableStyle>
    <tableStyle count="2" pivot="0" name="SET-style 2">
      <tableStyleElement dxfId="12" type="firstRowStripe"/>
      <tableStyleElement dxfId="11" type="secondRowStripe"/>
    </tableStyle>
    <tableStyle count="2" pivot="0" name="SET-style 3">
      <tableStyleElement dxfId="12" type="firstRowStripe"/>
      <tableStyleElement dxfId="1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333375</xdr:rowOff>
    </xdr:from>
    <xdr:ext cx="2247900" cy="933450"/>
    <xdr:sp>
      <xdr:nvSpPr>
        <xdr:cNvPr id="3" name="Shape 3"/>
        <xdr:cNvSpPr/>
      </xdr:nvSpPr>
      <xdr:spPr>
        <a:xfrm>
          <a:off x="4226813" y="3318038"/>
          <a:ext cx="2238375" cy="923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933450</xdr:colOff>
      <xdr:row>1</xdr:row>
      <xdr:rowOff>333375</xdr:rowOff>
    </xdr:from>
    <xdr:ext cx="1457325" cy="1123950"/>
    <xdr:sp>
      <xdr:nvSpPr>
        <xdr:cNvPr id="4" name="Shape 4"/>
        <xdr:cNvSpPr/>
      </xdr:nvSpPr>
      <xdr:spPr>
        <a:xfrm>
          <a:off x="4622100" y="3222788"/>
          <a:ext cx="1447800" cy="11144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N496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HIST-style" showColumnStripes="0" showFirstColumn="1" showLastColumn="1" showRowStripes="1"/>
</table>
</file>

<file path=xl/tables/table2.xml><?xml version="1.0" encoding="utf-8"?>
<table xmlns="http://schemas.openxmlformats.org/spreadsheetml/2006/main" headerRowCount="0" ref="L1:AC22" displayName="Table_2" name="Table_2" id="2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SET-style" showColumnStripes="0" showFirstColumn="1" showLastColumn="1" showRowStripes="1"/>
</table>
</file>

<file path=xl/tables/table3.xml><?xml version="1.0" encoding="utf-8"?>
<table xmlns="http://schemas.openxmlformats.org/spreadsheetml/2006/main" headerRowCount="0" ref="A272:AN273" displayName="Table_3" name="Table_3" id="3">
  <tableColumns count="4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</tableColumns>
  <tableStyleInfo name="SET-style 2" showColumnStripes="0" showFirstColumn="1" showLastColumn="1" showRowStripes="1"/>
</table>
</file>

<file path=xl/tables/table4.xml><?xml version="1.0" encoding="utf-8"?>
<table xmlns="http://schemas.openxmlformats.org/spreadsheetml/2006/main" headerRowCount="0" ref="A276:L276" displayName="Table_4" name="Table_4" id="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SET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Relationship Id="rId9" Type="http://schemas.openxmlformats.org/officeDocument/2006/relationships/table" Target="../tables/table4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5.25"/>
    <col customWidth="1" min="3" max="3" width="5.63"/>
    <col customWidth="1" min="4" max="4" width="6.13"/>
    <col customWidth="1" min="5" max="5" width="4.13"/>
    <col customWidth="1" min="6" max="6" width="8.63"/>
    <col customWidth="1" min="7" max="7" width="5.88"/>
    <col customWidth="1" min="8" max="8" width="13.25"/>
    <col customWidth="1" min="9" max="9" width="13.5"/>
    <col customWidth="1" min="10" max="10" width="13.63"/>
    <col customWidth="1" min="11" max="11" width="6.88"/>
    <col customWidth="1" min="12" max="12" width="5.75"/>
    <col customWidth="1" hidden="1" min="13" max="13" width="12.63"/>
    <col customWidth="1" hidden="1" min="14" max="14" width="16.75"/>
    <col customWidth="1" hidden="1" min="15" max="16" width="12.63"/>
  </cols>
  <sheetData>
    <row r="1" ht="30.0" customHeight="1">
      <c r="A1" s="1" t="s">
        <v>0</v>
      </c>
      <c r="P1" s="1"/>
    </row>
    <row r="2" ht="23.25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3" t="s">
        <v>10</v>
      </c>
      <c r="K2" s="4" t="s">
        <v>11</v>
      </c>
      <c r="L2" s="2" t="s">
        <v>12</v>
      </c>
      <c r="M2" s="5" t="s">
        <v>13</v>
      </c>
      <c r="N2" s="6" t="s">
        <v>14</v>
      </c>
      <c r="O2" s="6" t="s">
        <v>15</v>
      </c>
      <c r="P2" s="6"/>
    </row>
    <row r="3" ht="37.5" customHeight="1">
      <c r="A3" s="7" t="str">
        <f>IF(SET!P1="","",SET!L1)</f>
        <v/>
      </c>
      <c r="B3" s="8" t="str">
        <f>IF(SET!P1="","",TEXT(DATE(SET!O1,SET!N1,SET!M1),"DD/MM/YYYY"))</f>
        <v/>
      </c>
      <c r="C3" s="9" t="str">
        <f>IF(SET!P1="","",SET!P1)</f>
        <v/>
      </c>
      <c r="D3" s="10" t="str">
        <f>IF(SET!P1="","",TEXT(TIME(SET!Q1,SET!R1,0),"HH:MM"))</f>
        <v/>
      </c>
      <c r="E3" s="11" t="str">
        <f>IF(SET!P1="","",IF(SET!T1="iScout","📱",IF(SET!T1="XSA Neo","💻","📞")))</f>
        <v/>
      </c>
      <c r="F3" s="12" t="str">
        <f>IF(SET!P1="","",IFERROR(VLOOKUP(SET!U1,SET!$E$118:$G$161,2,FALSE),"⚽"))</f>
        <v/>
      </c>
      <c r="G3" s="13" t="str">
        <f>IF(SET!P1="","",IFERROR(VLOOKUP(SET!V1,SET!$B$56:$C$270,2,FALSE),"🌍"))</f>
        <v/>
      </c>
      <c r="H3" s="8" t="str">
        <f>IF(SET!P1="","",SET!W1)</f>
        <v/>
      </c>
      <c r="I3" s="14" t="str">
        <f>IF(SET!P1="","",SET!X1)</f>
        <v/>
      </c>
      <c r="J3" s="14" t="str">
        <f>IF(SET!P1="","",SET!Y1)</f>
        <v/>
      </c>
      <c r="K3" s="8" t="str">
        <f>IF(SET!P1="","",SUBSTITUTE(SET!AA1,"(Stream)",""))</f>
        <v/>
      </c>
      <c r="L3" s="15" t="str">
        <f>IF(SET!P1="","",SUBSTITUTE(SET!AC1,"(Stream)",""))</f>
        <v/>
      </c>
      <c r="M3" s="16" t="str">
        <f>IF(SET!P1="","",SET!T1)</f>
        <v/>
      </c>
      <c r="N3" s="17" t="str">
        <f>IF(SET!P1="","",SET!S1)</f>
        <v/>
      </c>
      <c r="O3" s="17" t="str">
        <f>IF(SET!P1="","",SET!U1)</f>
        <v/>
      </c>
      <c r="P3" s="18"/>
    </row>
    <row r="4" ht="37.5" customHeight="1">
      <c r="A4" s="7" t="str">
        <f>IF(SET!P2="","",SET!L2)</f>
        <v/>
      </c>
      <c r="B4" s="8" t="str">
        <f>IF(SET!P2="","",TEXT(DATE(SET!O2,SET!N2,SET!M2),"DD/MM/YYYY"))</f>
        <v/>
      </c>
      <c r="C4" s="9" t="str">
        <f>IF(SET!P2="","",SET!P2)</f>
        <v/>
      </c>
      <c r="D4" s="10" t="str">
        <f>IF(SET!P2="","",TEXT(TIME(SET!Q2,SET!R2,0),"HH:MM"))</f>
        <v/>
      </c>
      <c r="E4" s="11" t="str">
        <f>IF(SET!P2="","",IF(SET!T2="iScout","📱",IF(SET!T2="XSA Neo","💻","📞")))</f>
        <v/>
      </c>
      <c r="F4" s="12" t="str">
        <f>IF(SET!P2="","",IFERROR(VLOOKUP(SET!U2,SET!$E$118:$G$161,2,FALSE),"⚽"))</f>
        <v/>
      </c>
      <c r="G4" s="13" t="str">
        <f>IF(SET!P2="","",IFERROR(VLOOKUP(SET!V2,SET!$B$56:$C$270,2,FALSE),"🌍"))</f>
        <v/>
      </c>
      <c r="H4" s="8" t="str">
        <f>IF(SET!P2="","",SET!W2)</f>
        <v/>
      </c>
      <c r="I4" s="14" t="str">
        <f>IF(SET!P2="","",SET!X2)</f>
        <v/>
      </c>
      <c r="J4" s="14" t="str">
        <f>IF(SET!P2="","",SET!Y2)</f>
        <v/>
      </c>
      <c r="K4" s="8" t="str">
        <f>IF(SET!P2="","",SUBSTITUTE(SET!AA2,"(Stream)",""))</f>
        <v/>
      </c>
      <c r="L4" s="15" t="str">
        <f>IF(SET!P2="","",SUBSTITUTE(SET!AC2,"(Stream)",""))</f>
        <v/>
      </c>
      <c r="M4" s="16" t="str">
        <f>IF(SET!P2="","",SET!T2)</f>
        <v/>
      </c>
      <c r="N4" s="17" t="str">
        <f>IF(SET!P2="","",SET!S2)</f>
        <v/>
      </c>
      <c r="O4" s="17" t="str">
        <f>IF(SET!P2="","",SET!U2)</f>
        <v/>
      </c>
      <c r="P4" s="18"/>
    </row>
    <row r="5" ht="37.5" customHeight="1">
      <c r="A5" s="7" t="str">
        <f>IF(SET!P3="","",SET!L3)</f>
        <v/>
      </c>
      <c r="B5" s="8" t="str">
        <f>IF(SET!P3="","",TEXT(DATE(SET!O3,SET!N3,SET!M3),"DD/MM/YYYY"))</f>
        <v/>
      </c>
      <c r="C5" s="9" t="str">
        <f>IF(SET!P3="","",SET!P3)</f>
        <v/>
      </c>
      <c r="D5" s="10" t="str">
        <f>IF(SET!P3="","",TEXT(TIME(SET!Q3,SET!R3,0),"HH:MM"))</f>
        <v/>
      </c>
      <c r="E5" s="11" t="str">
        <f>IF(SET!P3="","",IF(SET!T3="iScout","📱",IF(SET!T3="XSA Neo","💻","📞")))</f>
        <v/>
      </c>
      <c r="F5" s="12" t="str">
        <f>IF(SET!P3="","",IFERROR(VLOOKUP(SET!U3,SET!$E$118:$G$161,2,FALSE),"⚽"))</f>
        <v/>
      </c>
      <c r="G5" s="13" t="str">
        <f>IF(SET!P3="","",IFERROR(VLOOKUP(SET!V3,SET!$B$56:$C$270,2,FALSE),"🌍"))</f>
        <v/>
      </c>
      <c r="H5" s="8" t="str">
        <f>IF(SET!P3="","",SET!W3)</f>
        <v/>
      </c>
      <c r="I5" s="14" t="str">
        <f>IF(SET!P3="","",SET!X3)</f>
        <v/>
      </c>
      <c r="J5" s="14" t="str">
        <f>IF(SET!P3="","",SET!Y3)</f>
        <v/>
      </c>
      <c r="K5" s="8" t="str">
        <f>IF(SET!P3="","",SUBSTITUTE(SET!AA3,"(Stream)",""))</f>
        <v/>
      </c>
      <c r="L5" s="15" t="str">
        <f>IF(SET!P3="","",SUBSTITUTE(SET!AC3,"(Stream)",""))</f>
        <v/>
      </c>
      <c r="M5" s="16" t="str">
        <f>IF(SET!P3="","",SET!T3)</f>
        <v/>
      </c>
      <c r="N5" s="17" t="str">
        <f>IF(SET!P3="","",SET!S3)</f>
        <v/>
      </c>
      <c r="O5" s="17" t="str">
        <f>IF(SET!P3="","",SET!U3)</f>
        <v/>
      </c>
      <c r="P5" s="18"/>
    </row>
    <row r="6" ht="37.5" customHeight="1">
      <c r="A6" s="7" t="str">
        <f>IF(SET!P4="","",SET!L4)</f>
        <v/>
      </c>
      <c r="B6" s="8" t="str">
        <f>IF(SET!P4="","",TEXT(DATE(SET!O4,SET!N4,SET!M4),"DD/MM/YYYY"))</f>
        <v/>
      </c>
      <c r="C6" s="9" t="str">
        <f>IF(SET!P4="","",SET!P4)</f>
        <v/>
      </c>
      <c r="D6" s="10" t="str">
        <f>IF(SET!P4="","",TEXT(TIME(SET!Q4,SET!R4,0),"HH:MM"))</f>
        <v/>
      </c>
      <c r="E6" s="11" t="str">
        <f>IF(SET!P4="","",IF(SET!T4="iScout","📱",IF(SET!T4="XSA Neo","💻","📞")))</f>
        <v/>
      </c>
      <c r="F6" s="12" t="str">
        <f>IF(SET!P4="","",IFERROR(VLOOKUP(SET!U4,SET!$E$118:$G$161,2,FALSE),"⚽"))</f>
        <v/>
      </c>
      <c r="G6" s="13" t="str">
        <f>IF(SET!P4="","",IFERROR(VLOOKUP(SET!V4,SET!$B$56:$C$270,2,FALSE),"🌍"))</f>
        <v/>
      </c>
      <c r="H6" s="8" t="str">
        <f>IF(SET!P4="","",SET!W4)</f>
        <v/>
      </c>
      <c r="I6" s="14" t="str">
        <f>IF(SET!P4="","",SET!X4)</f>
        <v/>
      </c>
      <c r="J6" s="14" t="str">
        <f>IF(SET!P4="","",SET!Y4)</f>
        <v/>
      </c>
      <c r="K6" s="8" t="str">
        <f>IF(SET!P4="","",SUBSTITUTE(SET!AA4,"(Stream)",""))</f>
        <v/>
      </c>
      <c r="L6" s="15" t="str">
        <f>IF(SET!P4="","",SUBSTITUTE(SET!AC4,"(Stream)",""))</f>
        <v/>
      </c>
      <c r="M6" s="16" t="str">
        <f>IF(SET!P4="","",SET!T4)</f>
        <v/>
      </c>
      <c r="N6" s="17" t="str">
        <f>IF(SET!P4="","",SET!S4)</f>
        <v/>
      </c>
      <c r="O6" s="17" t="str">
        <f>IF(SET!P4="","",SET!U4)</f>
        <v/>
      </c>
      <c r="P6" s="18"/>
    </row>
    <row r="7" ht="37.5" customHeight="1">
      <c r="A7" s="7" t="str">
        <f>IF(SET!P5="","",SET!L5)</f>
        <v/>
      </c>
      <c r="B7" s="8" t="str">
        <f>IF(SET!P5="","",TEXT(DATE(SET!O5,SET!N5,SET!M5),"DD/MM/YYYY"))</f>
        <v/>
      </c>
      <c r="C7" s="9" t="str">
        <f>IF(SET!P5="","",SET!P5)</f>
        <v/>
      </c>
      <c r="D7" s="10" t="str">
        <f>IF(SET!P5="","",TEXT(TIME(SET!Q5,SET!R5,0),"HH:MM"))</f>
        <v/>
      </c>
      <c r="E7" s="11" t="str">
        <f>IF(SET!P5="","",IF(SET!T5="iScout","📱",IF(SET!T5="XSA Neo","💻","📞")))</f>
        <v/>
      </c>
      <c r="F7" s="12" t="str">
        <f>IF(SET!P5="","",IFERROR(VLOOKUP(SET!U5,SET!$E$118:$G$161,2,FALSE),"⚽"))</f>
        <v/>
      </c>
      <c r="G7" s="13" t="str">
        <f>IF(SET!P5="","",IFERROR(VLOOKUP(SET!V5,SET!$B$56:$C$270,2,FALSE),"🌍"))</f>
        <v/>
      </c>
      <c r="H7" s="8" t="str">
        <f>IF(SET!P5="","",SET!W5)</f>
        <v/>
      </c>
      <c r="I7" s="14" t="str">
        <f>IF(SET!P5="","",SET!X5)</f>
        <v/>
      </c>
      <c r="J7" s="14" t="str">
        <f>IF(SET!P5="","",SET!Y5)</f>
        <v/>
      </c>
      <c r="K7" s="8" t="str">
        <f>IF(SET!P5="","",SUBSTITUTE(SET!AA5,"(Stream)",""))</f>
        <v/>
      </c>
      <c r="L7" s="15" t="str">
        <f>IF(SET!P5="","",SUBSTITUTE(SET!AC5,"(Stream)",""))</f>
        <v/>
      </c>
      <c r="M7" s="16" t="str">
        <f>IF(SET!P5="","",SET!T5)</f>
        <v/>
      </c>
      <c r="N7" s="17" t="str">
        <f>IF(SET!P5="","",SET!S5)</f>
        <v/>
      </c>
      <c r="O7" s="17" t="str">
        <f>IF(SET!P5="","",SET!U5)</f>
        <v/>
      </c>
      <c r="P7" s="18"/>
    </row>
    <row r="8" ht="37.5" customHeight="1">
      <c r="A8" s="7" t="str">
        <f>IF(SET!P6="","",SET!L6)</f>
        <v/>
      </c>
      <c r="B8" s="8" t="str">
        <f>IF(SET!P6="","",TEXT(DATE(SET!O6,SET!N6,SET!M6),"DD/MM/YYYY"))</f>
        <v/>
      </c>
      <c r="C8" s="9" t="str">
        <f>IF(SET!P6="","",SET!P6)</f>
        <v/>
      </c>
      <c r="D8" s="10" t="str">
        <f>IF(SET!P6="","",TEXT(TIME(SET!Q6,SET!R6,0),"HH:MM"))</f>
        <v/>
      </c>
      <c r="E8" s="11" t="str">
        <f>IF(SET!P6="","",IF(SET!T6="iScout","📱",IF(SET!T6="XSA Neo","💻","📞")))</f>
        <v/>
      </c>
      <c r="F8" s="12" t="str">
        <f>IF(SET!P6="","",IFERROR(VLOOKUP(SET!U6,SET!$E$118:$G$161,2,FALSE),"⚽"))</f>
        <v/>
      </c>
      <c r="G8" s="13" t="str">
        <f>IF(SET!P6="","",IFERROR(VLOOKUP(SET!V6,SET!$B$56:$C$270,2,FALSE),"🌍"))</f>
        <v/>
      </c>
      <c r="H8" s="8" t="str">
        <f>IF(SET!P6="","",SET!W6)</f>
        <v/>
      </c>
      <c r="I8" s="14" t="str">
        <f>IF(SET!P6="","",SET!X6)</f>
        <v/>
      </c>
      <c r="J8" s="14" t="str">
        <f>IF(SET!P6="","",SET!Y6)</f>
        <v/>
      </c>
      <c r="K8" s="8" t="str">
        <f>IF(SET!P6="","",SUBSTITUTE(SET!AA6,"(Stream)",""))</f>
        <v/>
      </c>
      <c r="L8" s="15" t="str">
        <f>IF(SET!P6="","",SUBSTITUTE(SET!AC6,"(Stream)",""))</f>
        <v/>
      </c>
      <c r="M8" s="16" t="str">
        <f>IF(SET!P6="","",SET!T6)</f>
        <v/>
      </c>
      <c r="N8" s="17" t="str">
        <f>IF(SET!P6="","",SET!S6)</f>
        <v/>
      </c>
      <c r="O8" s="17" t="str">
        <f>IF(SET!P6="","",SET!U6)</f>
        <v/>
      </c>
      <c r="P8" s="18"/>
    </row>
    <row r="9" ht="37.5" customHeight="1">
      <c r="A9" s="7" t="str">
        <f>IF(SET!P7="","",SET!L7)</f>
        <v/>
      </c>
      <c r="B9" s="8" t="str">
        <f>IF(SET!P7="","",TEXT(DATE(SET!O7,SET!N7,SET!M7),"DD/MM/YYYY"))</f>
        <v/>
      </c>
      <c r="C9" s="9" t="str">
        <f>IF(SET!P7="","",SET!P7)</f>
        <v/>
      </c>
      <c r="D9" s="10" t="str">
        <f>IF(SET!P7="","",TEXT(TIME(SET!Q7,SET!R7,0),"HH:MM"))</f>
        <v/>
      </c>
      <c r="E9" s="11" t="str">
        <f>IF(SET!P7="","",IF(SET!T7="iScout","📱",IF(SET!T7="XSA Neo","💻","📞")))</f>
        <v/>
      </c>
      <c r="F9" s="12" t="str">
        <f>IF(SET!P7="","",IFERROR(VLOOKUP(SET!U7,SET!$E$118:$G$161,2,FALSE),"⚽"))</f>
        <v/>
      </c>
      <c r="G9" s="13" t="str">
        <f>IF(SET!P7="","",IFERROR(VLOOKUP(SET!V7,SET!$B$56:$C$270,2,FALSE),"🌍"))</f>
        <v/>
      </c>
      <c r="H9" s="8" t="str">
        <f>IF(SET!P7="","",SET!W7)</f>
        <v/>
      </c>
      <c r="I9" s="14" t="str">
        <f>IF(SET!P7="","",SET!X7)</f>
        <v/>
      </c>
      <c r="J9" s="14" t="str">
        <f>IF(SET!P7="","",SET!Y7)</f>
        <v/>
      </c>
      <c r="K9" s="8" t="str">
        <f>IF(SET!P7="","",SUBSTITUTE(SET!AA7,"(Stream)",""))</f>
        <v/>
      </c>
      <c r="L9" s="15" t="str">
        <f>IF(SET!P7="","",SUBSTITUTE(SET!AC7,"(Stream)",""))</f>
        <v/>
      </c>
      <c r="M9" s="16" t="str">
        <f>IF(SET!P7="","",SET!T7)</f>
        <v/>
      </c>
      <c r="N9" s="17" t="str">
        <f>IF(SET!P7="","",SET!S7)</f>
        <v/>
      </c>
      <c r="O9" s="17" t="str">
        <f>IF(SET!P7="","",SET!U7)</f>
        <v/>
      </c>
      <c r="P9" s="18"/>
    </row>
    <row r="10" ht="37.5" customHeight="1">
      <c r="A10" s="7" t="str">
        <f>IF(SET!P8="","",SET!L8)</f>
        <v/>
      </c>
      <c r="B10" s="8" t="str">
        <f>IF(SET!P8="","",TEXT(DATE(SET!O8,SET!N8,SET!M8),"DD/MM/YYYY"))</f>
        <v/>
      </c>
      <c r="C10" s="9" t="str">
        <f>IF(SET!P8="","",SET!P8)</f>
        <v/>
      </c>
      <c r="D10" s="10" t="str">
        <f>IF(SET!P8="","",TEXT(TIME(SET!Q8,SET!R8,0),"HH:MM"))</f>
        <v/>
      </c>
      <c r="E10" s="11" t="str">
        <f>IF(SET!P8="","",IF(SET!T8="iScout","📱",IF(SET!T8="XSA Neo","💻","📞")))</f>
        <v/>
      </c>
      <c r="F10" s="12" t="str">
        <f>IF(SET!P8="","",IFERROR(VLOOKUP(SET!U8,SET!$E$118:$G$161,2,FALSE),"⚽"))</f>
        <v/>
      </c>
      <c r="G10" s="13" t="str">
        <f>IF(SET!P8="","",IFERROR(VLOOKUP(SET!V8,SET!$B$56:$C$270,2,FALSE),"🌍"))</f>
        <v/>
      </c>
      <c r="H10" s="8" t="str">
        <f>IF(SET!P8="","",SET!W8)</f>
        <v/>
      </c>
      <c r="I10" s="14" t="str">
        <f>IF(SET!P8="","",SET!X8)</f>
        <v/>
      </c>
      <c r="J10" s="14" t="str">
        <f>IF(SET!P8="","",SET!Y8)</f>
        <v/>
      </c>
      <c r="K10" s="8" t="str">
        <f>IF(SET!P8="","",SUBSTITUTE(SET!AA8,"(Stream)",""))</f>
        <v/>
      </c>
      <c r="L10" s="15" t="str">
        <f>IF(SET!P8="","",SUBSTITUTE(SET!AC8,"(Stream)",""))</f>
        <v/>
      </c>
      <c r="M10" s="16" t="str">
        <f>IF(SET!P8="","",SET!T8)</f>
        <v/>
      </c>
      <c r="N10" s="17" t="str">
        <f>IF(SET!P8="","",SET!S8)</f>
        <v/>
      </c>
      <c r="O10" s="17" t="str">
        <f>IF(SET!P8="","",SET!U8)</f>
        <v/>
      </c>
      <c r="P10" s="18"/>
    </row>
    <row r="11" ht="37.5" customHeight="1">
      <c r="A11" s="7" t="str">
        <f>IF(SET!P9="","",SET!L9)</f>
        <v/>
      </c>
      <c r="B11" s="8" t="str">
        <f>IF(SET!P9="","",TEXT(DATE(SET!O9,SET!N9,SET!M9),"DD/MM/YYYY"))</f>
        <v/>
      </c>
      <c r="C11" s="9" t="str">
        <f>IF(SET!P9="","",SET!P9)</f>
        <v/>
      </c>
      <c r="D11" s="10" t="str">
        <f>IF(SET!P9="","",TEXT(TIME(SET!Q9,SET!R9,0),"HH:MM"))</f>
        <v/>
      </c>
      <c r="E11" s="11" t="str">
        <f>IF(SET!P9="","",IF(SET!T9="iScout","📱",IF(SET!T9="XSA Neo","💻","📞")))</f>
        <v/>
      </c>
      <c r="F11" s="12" t="str">
        <f>IF(SET!P9="","",IFERROR(VLOOKUP(SET!U9,SET!$E$118:$G$161,2,FALSE),"⚽"))</f>
        <v/>
      </c>
      <c r="G11" s="13" t="str">
        <f>IF(SET!P9="","",IFERROR(VLOOKUP(SET!V9,SET!$B$56:$C$270,2,FALSE),"🌍"))</f>
        <v/>
      </c>
      <c r="H11" s="8" t="str">
        <f>IF(SET!P9="","",SET!W9)</f>
        <v/>
      </c>
      <c r="I11" s="14" t="str">
        <f>IF(SET!P9="","",SET!X9)</f>
        <v/>
      </c>
      <c r="J11" s="14" t="str">
        <f>IF(SET!P9="","",SET!Y9)</f>
        <v/>
      </c>
      <c r="K11" s="8" t="str">
        <f>IF(SET!P9="","",SUBSTITUTE(SET!AA9,"(Stream)",""))</f>
        <v/>
      </c>
      <c r="L11" s="15" t="str">
        <f>IF(SET!P9="","",SUBSTITUTE(SET!AC9,"(Stream)",""))</f>
        <v/>
      </c>
      <c r="M11" s="16" t="str">
        <f>IF(SET!P9="","",SET!T9)</f>
        <v/>
      </c>
      <c r="N11" s="17" t="str">
        <f>IF(SET!P9="","",SET!S9)</f>
        <v/>
      </c>
      <c r="O11" s="17" t="str">
        <f>IF(SET!P9="","",SET!U9)</f>
        <v/>
      </c>
      <c r="P11" s="18"/>
    </row>
    <row r="12" ht="37.5" customHeight="1">
      <c r="A12" s="7" t="str">
        <f>IF(SET!P10="","",SET!L10)</f>
        <v/>
      </c>
      <c r="B12" s="8" t="str">
        <f>IF(SET!P10="","",TEXT(DATE(SET!O10,SET!N10,SET!M10),"DD/MM/YYYY"))</f>
        <v/>
      </c>
      <c r="C12" s="9" t="str">
        <f>IF(SET!P10="","",SET!P10)</f>
        <v/>
      </c>
      <c r="D12" s="10" t="str">
        <f>IF(SET!P10="","",TEXT(TIME(SET!Q10,SET!R10,0),"HH:MM"))</f>
        <v/>
      </c>
      <c r="E12" s="11" t="str">
        <f>IF(SET!P10="","",IF(SET!T10="iScout","📱",IF(SET!T10="XSA Neo","💻","📞")))</f>
        <v/>
      </c>
      <c r="F12" s="12" t="str">
        <f>IF(SET!P10="","",IFERROR(VLOOKUP(SET!U10,SET!$E$118:$G$161,2,FALSE),"⚽"))</f>
        <v/>
      </c>
      <c r="G12" s="13" t="str">
        <f>IF(SET!P10="","",IFERROR(VLOOKUP(SET!V10,SET!$B$56:$C$270,2,FALSE),"🌍"))</f>
        <v/>
      </c>
      <c r="H12" s="8" t="str">
        <f>IF(SET!P10="","",SET!W10)</f>
        <v/>
      </c>
      <c r="I12" s="14" t="str">
        <f>IF(SET!P10="","",SET!X10)</f>
        <v/>
      </c>
      <c r="J12" s="14" t="str">
        <f>IF(SET!P10="","",SET!Y10)</f>
        <v/>
      </c>
      <c r="K12" s="8" t="str">
        <f>IF(SET!P10="","",SUBSTITUTE(SET!AA10,"(Stream)",""))</f>
        <v/>
      </c>
      <c r="L12" s="15" t="str">
        <f>IF(SET!P10="","",SUBSTITUTE(SET!AC10,"(Stream)",""))</f>
        <v/>
      </c>
      <c r="M12" s="16" t="str">
        <f>IF(SET!P10="","",SET!T10)</f>
        <v/>
      </c>
      <c r="N12" s="17" t="str">
        <f>IF(SET!P10="","",SET!S10)</f>
        <v/>
      </c>
      <c r="O12" s="17" t="str">
        <f>IF(SET!P10="","",SET!U10)</f>
        <v/>
      </c>
      <c r="P12" s="18"/>
    </row>
    <row r="13" ht="37.5" customHeight="1">
      <c r="A13" s="7" t="str">
        <f>IF(SET!P11="","",SET!L11)</f>
        <v/>
      </c>
      <c r="B13" s="8" t="str">
        <f>IF(SET!P11="","",TEXT(DATE(SET!O11,SET!N11,SET!M11),"DD/MM/YYYY"))</f>
        <v/>
      </c>
      <c r="C13" s="9" t="str">
        <f>IF(SET!P11="","",SET!P11)</f>
        <v/>
      </c>
      <c r="D13" s="10" t="str">
        <f>IF(SET!P11="","",TEXT(TIME(SET!Q11,SET!R11,0),"HH:MM"))</f>
        <v/>
      </c>
      <c r="E13" s="11" t="str">
        <f>IF(SET!P11="","",IF(SET!T11="iScout","📱",IF(SET!T11="XSA Neo","💻","📞")))</f>
        <v/>
      </c>
      <c r="F13" s="12" t="str">
        <f>IF(SET!P11="","",IFERROR(VLOOKUP(SET!U11,SET!$E$118:$G$161,2,FALSE),"⚽"))</f>
        <v/>
      </c>
      <c r="G13" s="13" t="str">
        <f>IF(SET!P11="","",IFERROR(VLOOKUP(SET!V11,SET!$B$56:$C$270,2,FALSE),"🌍"))</f>
        <v/>
      </c>
      <c r="H13" s="8" t="str">
        <f>IF(SET!P11="","",SET!W11)</f>
        <v/>
      </c>
      <c r="I13" s="14" t="str">
        <f>IF(SET!P11="","",SET!X11)</f>
        <v/>
      </c>
      <c r="J13" s="14" t="str">
        <f>IF(SET!P11="","",SET!Y11)</f>
        <v/>
      </c>
      <c r="K13" s="8" t="str">
        <f>IF(SET!P11="","",SUBSTITUTE(SET!AA11,"(Stream)",""))</f>
        <v/>
      </c>
      <c r="L13" s="15" t="str">
        <f>IF(SET!P11="","",SUBSTITUTE(SET!AC11,"(Stream)",""))</f>
        <v/>
      </c>
      <c r="M13" s="16" t="str">
        <f>IF(SET!P11="","",SET!T11)</f>
        <v/>
      </c>
      <c r="N13" s="17" t="str">
        <f>IF(SET!P11="","",SET!S11)</f>
        <v/>
      </c>
      <c r="O13" s="17" t="str">
        <f>IF(SET!P11="","",SET!U11)</f>
        <v/>
      </c>
      <c r="P13" s="18"/>
    </row>
    <row r="14" ht="37.5" customHeight="1">
      <c r="A14" s="7" t="str">
        <f>IF(SET!P12="","",SET!L12)</f>
        <v/>
      </c>
      <c r="B14" s="8" t="str">
        <f>IF(SET!P12="","",TEXT(DATE(SET!O12,SET!N12,SET!M12),"DD/MM/YYYY"))</f>
        <v/>
      </c>
      <c r="C14" s="9" t="str">
        <f>IF(SET!P12="","",SET!P12)</f>
        <v/>
      </c>
      <c r="D14" s="10" t="str">
        <f>IF(SET!P12="","",TEXT(TIME(SET!Q12,SET!R12,0),"HH:MM"))</f>
        <v/>
      </c>
      <c r="E14" s="11" t="str">
        <f>IF(SET!P12="","",IF(SET!T12="iScout","📱",IF(SET!T12="XSA Neo","💻","📞")))</f>
        <v/>
      </c>
      <c r="F14" s="12" t="str">
        <f>IF(SET!P12="","",IFERROR(VLOOKUP(SET!U12,SET!$E$118:$G$161,2,FALSE),"⚽"))</f>
        <v/>
      </c>
      <c r="G14" s="13" t="str">
        <f>IF(SET!P12="","",IFERROR(VLOOKUP(SET!V12,SET!$B$56:$C$270,2,FALSE),"🌍"))</f>
        <v/>
      </c>
      <c r="H14" s="8" t="str">
        <f>IF(SET!P12="","",SET!W12)</f>
        <v/>
      </c>
      <c r="I14" s="14" t="str">
        <f>IF(SET!P12="","",SET!X12)</f>
        <v/>
      </c>
      <c r="J14" s="14" t="str">
        <f>IF(SET!P12="","",SET!Y12)</f>
        <v/>
      </c>
      <c r="K14" s="8" t="str">
        <f>IF(SET!P12="","",SUBSTITUTE(SET!AA12,"(Stream)",""))</f>
        <v/>
      </c>
      <c r="L14" s="15" t="str">
        <f>IF(SET!P12="","",SUBSTITUTE(SET!AC12,"(Stream)",""))</f>
        <v/>
      </c>
      <c r="M14" s="16" t="str">
        <f>IF(SET!P12="","",SET!T12)</f>
        <v/>
      </c>
      <c r="N14" s="17" t="str">
        <f>IF(SET!P12="","",SET!S12)</f>
        <v/>
      </c>
      <c r="O14" s="17" t="str">
        <f>IF(SET!P12="","",SET!U12)</f>
        <v/>
      </c>
      <c r="P14" s="18"/>
    </row>
    <row r="15" ht="37.5" customHeight="1">
      <c r="A15" s="7" t="str">
        <f>IF(SET!P13="","",SET!L13)</f>
        <v/>
      </c>
      <c r="B15" s="8" t="str">
        <f>IF(SET!P13="","",TEXT(DATE(SET!O13,SET!N13,SET!M13),"DD/MM/YYYY"))</f>
        <v/>
      </c>
      <c r="C15" s="9" t="str">
        <f>IF(SET!P13="","",SET!P13)</f>
        <v/>
      </c>
      <c r="D15" s="10" t="str">
        <f>IF(SET!P13="","",TEXT(TIME(SET!Q13,SET!R13,0),"HH:MM"))</f>
        <v/>
      </c>
      <c r="E15" s="11" t="str">
        <f>IF(SET!P13="","",IF(SET!T13="iScout","📱",IF(SET!T13="XSA Neo","💻","📞")))</f>
        <v/>
      </c>
      <c r="F15" s="12" t="str">
        <f>IF(SET!P13="","",IFERROR(VLOOKUP(SET!U13,SET!$E$118:$G$161,2,FALSE),"⚽"))</f>
        <v/>
      </c>
      <c r="G15" s="13" t="str">
        <f>IF(SET!P13="","",IFERROR(VLOOKUP(SET!V13,SET!$B$56:$C$270,2,FALSE),"🌍"))</f>
        <v/>
      </c>
      <c r="H15" s="8" t="str">
        <f>IF(SET!P13="","",SET!W13)</f>
        <v/>
      </c>
      <c r="I15" s="14" t="str">
        <f>IF(SET!P13="","",SET!X13)</f>
        <v/>
      </c>
      <c r="J15" s="14" t="str">
        <f>IF(SET!P13="","",SET!Y13)</f>
        <v/>
      </c>
      <c r="K15" s="8" t="str">
        <f>IF(SET!P13="","",SUBSTITUTE(SET!AA13,"(Stream)",""))</f>
        <v/>
      </c>
      <c r="L15" s="15" t="str">
        <f>IF(SET!P13="","",SUBSTITUTE(SET!AC13,"(Stream)",""))</f>
        <v/>
      </c>
      <c r="M15" s="16" t="str">
        <f>IF(SET!P13="","",SET!T13)</f>
        <v/>
      </c>
      <c r="N15" s="17" t="str">
        <f>IF(SET!P13="","",SET!S13)</f>
        <v/>
      </c>
      <c r="O15" s="17" t="str">
        <f>IF(SET!P13="","",SET!U13)</f>
        <v/>
      </c>
      <c r="P15" s="18"/>
    </row>
    <row r="16" ht="37.5" customHeight="1">
      <c r="A16" s="7" t="str">
        <f>IF(SET!P14="","",SET!L14)</f>
        <v/>
      </c>
      <c r="B16" s="8" t="str">
        <f>IF(SET!P14="","",TEXT(DATE(SET!O14,SET!N14,SET!M14),"DD/MM/YYYY"))</f>
        <v/>
      </c>
      <c r="C16" s="9" t="str">
        <f>IF(SET!P14="","",SET!P14)</f>
        <v/>
      </c>
      <c r="D16" s="10" t="str">
        <f>IF(SET!P14="","",TEXT(TIME(SET!Q14,SET!R14,0),"HH:MM"))</f>
        <v/>
      </c>
      <c r="E16" s="11" t="str">
        <f>IF(SET!P14="","",IF(SET!T14="iScout","📱",IF(SET!T14="XSA Neo","💻","📞")))</f>
        <v/>
      </c>
      <c r="F16" s="12" t="str">
        <f>IF(SET!P14="","",IFERROR(VLOOKUP(SET!U14,SET!$E$118:$G$161,2,FALSE),"⚽"))</f>
        <v/>
      </c>
      <c r="G16" s="13" t="str">
        <f>IF(SET!P14="","",IFERROR(VLOOKUP(SET!V14,SET!$B$56:$C$270,2,FALSE),"🌍"))</f>
        <v/>
      </c>
      <c r="H16" s="8" t="str">
        <f>IF(SET!P14="","",SET!W14)</f>
        <v/>
      </c>
      <c r="I16" s="14" t="str">
        <f>IF(SET!P14="","",SET!X14)</f>
        <v/>
      </c>
      <c r="J16" s="14" t="str">
        <f>IF(SET!P14="","",SET!Y14)</f>
        <v/>
      </c>
      <c r="K16" s="8" t="str">
        <f>IF(SET!P14="","",SUBSTITUTE(SET!AA14,"(Stream)",""))</f>
        <v/>
      </c>
      <c r="L16" s="15" t="str">
        <f>IF(SET!P14="","",SUBSTITUTE(SET!AC14,"(Stream)",""))</f>
        <v/>
      </c>
      <c r="M16" s="16" t="str">
        <f>IF(SET!P14="","",SET!T14)</f>
        <v/>
      </c>
      <c r="N16" s="17" t="str">
        <f>IF(SET!P14="","",SET!S14)</f>
        <v/>
      </c>
      <c r="O16" s="17" t="str">
        <f>IF(SET!P14="","",SET!U14)</f>
        <v/>
      </c>
      <c r="P16" s="18"/>
    </row>
    <row r="17" ht="37.5" customHeight="1">
      <c r="A17" s="7" t="str">
        <f>IF(SET!P15="","",SET!L15)</f>
        <v/>
      </c>
      <c r="B17" s="8" t="str">
        <f>IF(SET!P15="","",TEXT(DATE(SET!O15,SET!N15,SET!M15),"DD/MM/YYYY"))</f>
        <v/>
      </c>
      <c r="C17" s="9" t="str">
        <f>IF(SET!P15="","",SET!P15)</f>
        <v/>
      </c>
      <c r="D17" s="10" t="str">
        <f>IF(SET!P15="","",TEXT(TIME(SET!Q15,SET!R15,0),"HH:MM"))</f>
        <v/>
      </c>
      <c r="E17" s="11" t="str">
        <f>IF(SET!P15="","",IF(SET!T15="iScout","📱",IF(SET!T15="XSA Neo","💻","📞")))</f>
        <v/>
      </c>
      <c r="F17" s="12" t="str">
        <f>IF(SET!P15="","",IFERROR(VLOOKUP(SET!U15,SET!$E$118:$G$161,2,FALSE),"⚽"))</f>
        <v/>
      </c>
      <c r="G17" s="13" t="str">
        <f>IF(SET!P15="","",IFERROR(VLOOKUP(SET!V15,SET!$B$56:$C$270,2,FALSE),"🌍"))</f>
        <v/>
      </c>
      <c r="H17" s="8" t="str">
        <f>IF(SET!P15="","",SET!W15)</f>
        <v/>
      </c>
      <c r="I17" s="14" t="str">
        <f>IF(SET!P15="","",SET!X15)</f>
        <v/>
      </c>
      <c r="J17" s="14" t="str">
        <f>IF(SET!P15="","",SET!Y15)</f>
        <v/>
      </c>
      <c r="K17" s="8" t="str">
        <f>IF(SET!P15="","",SUBSTITUTE(SET!AA15,"(Stream)",""))</f>
        <v/>
      </c>
      <c r="L17" s="15" t="str">
        <f>IF(SET!P15="","",SUBSTITUTE(SET!AC15,"(Stream)",""))</f>
        <v/>
      </c>
      <c r="M17" s="16" t="str">
        <f>IF(SET!P15="","",SET!T15)</f>
        <v/>
      </c>
      <c r="N17" s="17" t="str">
        <f>IF(SET!P15="","",SET!S15)</f>
        <v/>
      </c>
      <c r="O17" s="17" t="str">
        <f>IF(SET!P15="","",SET!U15)</f>
        <v/>
      </c>
      <c r="P17" s="18"/>
    </row>
    <row r="18" ht="37.5" customHeight="1">
      <c r="A18" s="7" t="str">
        <f>IF(SET!P16="","",SET!L16)</f>
        <v/>
      </c>
      <c r="B18" s="8" t="str">
        <f>IF(SET!P16="","",TEXT(DATE(SET!O16,SET!N16,SET!M16),"DD/MM/YYYY"))</f>
        <v/>
      </c>
      <c r="C18" s="9" t="str">
        <f>IF(SET!P16="","",SET!P16)</f>
        <v/>
      </c>
      <c r="D18" s="10" t="str">
        <f>IF(SET!P16="","",TEXT(TIME(SET!Q16,SET!R16,0),"HH:MM"))</f>
        <v/>
      </c>
      <c r="E18" s="11" t="str">
        <f>IF(SET!P16="","",IF(SET!T16="iScout","📱",IF(SET!T16="XSA Neo","💻","📞")))</f>
        <v/>
      </c>
      <c r="F18" s="12" t="str">
        <f>IF(SET!P16="","",IFERROR(VLOOKUP(SET!U16,SET!$E$118:$G$161,2,FALSE),"⚽"))</f>
        <v/>
      </c>
      <c r="G18" s="13" t="str">
        <f>IF(SET!P16="","",IFERROR(VLOOKUP(SET!V16,SET!$B$56:$C$270,2,FALSE),"🌍"))</f>
        <v/>
      </c>
      <c r="H18" s="8" t="str">
        <f>IF(SET!P16="","",SET!W16)</f>
        <v/>
      </c>
      <c r="I18" s="14" t="str">
        <f>IF(SET!P16="","",SET!X16)</f>
        <v/>
      </c>
      <c r="J18" s="14" t="str">
        <f>IF(SET!P16="","",SET!Y16)</f>
        <v/>
      </c>
      <c r="K18" s="8" t="str">
        <f>IF(SET!P16="","",SUBSTITUTE(SET!AA16,"(Stream)",""))</f>
        <v/>
      </c>
      <c r="L18" s="15" t="str">
        <f>IF(SET!P16="","",SUBSTITUTE(SET!AC16,"(Stream)",""))</f>
        <v/>
      </c>
      <c r="M18" s="16" t="str">
        <f>IF(SET!P16="","",SET!T16)</f>
        <v/>
      </c>
      <c r="N18" s="17" t="str">
        <f>IF(SET!P16="","",SET!S16)</f>
        <v/>
      </c>
      <c r="O18" s="17" t="str">
        <f>IF(SET!P16="","",SET!U16)</f>
        <v/>
      </c>
      <c r="P18" s="18"/>
    </row>
    <row r="19" ht="37.5" customHeight="1">
      <c r="A19" s="7" t="str">
        <f>IF(SET!P17="","",SET!L17)</f>
        <v/>
      </c>
      <c r="B19" s="8" t="str">
        <f>IF(SET!P17="","",TEXT(DATE(SET!O17,SET!N17,SET!M17),"DD/MM/YYYY"))</f>
        <v/>
      </c>
      <c r="C19" s="9" t="str">
        <f>IF(SET!P17="","",SET!P17)</f>
        <v/>
      </c>
      <c r="D19" s="10" t="str">
        <f>IF(SET!P17="","",TEXT(TIME(SET!Q17,SET!R17,0),"HH:MM"))</f>
        <v/>
      </c>
      <c r="E19" s="11" t="str">
        <f>IF(SET!P17="","",IF(SET!T17="iScout","📱",IF(SET!T17="XSA Neo","💻","📞")))</f>
        <v/>
      </c>
      <c r="F19" s="12" t="str">
        <f>IF(SET!P17="","",IFERROR(VLOOKUP(SET!U17,SET!$E$118:$G$161,2,FALSE),"⚽"))</f>
        <v/>
      </c>
      <c r="G19" s="13" t="str">
        <f>IF(SET!P17="","",IFERROR(VLOOKUP(SET!V17,SET!$B$56:$C$270,2,FALSE),"🌍"))</f>
        <v/>
      </c>
      <c r="H19" s="8" t="str">
        <f>IF(SET!P17="","",SET!W17)</f>
        <v/>
      </c>
      <c r="I19" s="14" t="str">
        <f>IF(SET!P17="","",SET!X17)</f>
        <v/>
      </c>
      <c r="J19" s="14" t="str">
        <f>IF(SET!P17="","",SET!Y17)</f>
        <v/>
      </c>
      <c r="K19" s="8" t="str">
        <f>IF(SET!P17="","",SUBSTITUTE(SET!AA17,"(Stream)",""))</f>
        <v/>
      </c>
      <c r="L19" s="15" t="str">
        <f>IF(SET!P17="","",SUBSTITUTE(SET!AC17,"(Stream)",""))</f>
        <v/>
      </c>
      <c r="M19" s="16" t="str">
        <f>IF(SET!P17="","",SET!T17)</f>
        <v/>
      </c>
      <c r="N19" s="17" t="str">
        <f>IF(SET!P17="","",SET!S17)</f>
        <v/>
      </c>
      <c r="O19" s="17" t="str">
        <f>IF(SET!P17="","",SET!U17)</f>
        <v/>
      </c>
      <c r="P19" s="18"/>
    </row>
    <row r="20" ht="37.5" customHeight="1">
      <c r="A20" s="7" t="str">
        <f>IF(SET!P18="","",SET!L18)</f>
        <v/>
      </c>
      <c r="B20" s="8" t="str">
        <f>IF(SET!P18="","",TEXT(DATE(SET!O18,SET!N18,SET!M18),"DD/MM/YYYY"))</f>
        <v/>
      </c>
      <c r="C20" s="9" t="str">
        <f>IF(SET!P18="","",SET!P18)</f>
        <v/>
      </c>
      <c r="D20" s="10" t="str">
        <f>IF(SET!P18="","",TEXT(TIME(SET!Q18,SET!R18,0),"HH:MM"))</f>
        <v/>
      </c>
      <c r="E20" s="11" t="str">
        <f>IF(SET!P18="","",IF(SET!T18="iScout","📱",IF(SET!T18="XSA Neo","💻","📞")))</f>
        <v/>
      </c>
      <c r="F20" s="12" t="str">
        <f>IF(SET!P18="","",IFERROR(VLOOKUP(SET!U18,SET!$E$118:$G$161,2,FALSE),"⚽"))</f>
        <v/>
      </c>
      <c r="G20" s="13" t="str">
        <f>IF(SET!P18="","",IFERROR(VLOOKUP(SET!V18,SET!$B$56:$C$270,2,FALSE),"🌍"))</f>
        <v/>
      </c>
      <c r="H20" s="8" t="str">
        <f>IF(SET!P18="","",SET!W18)</f>
        <v/>
      </c>
      <c r="I20" s="14" t="str">
        <f>IF(SET!P18="","",SET!X18)</f>
        <v/>
      </c>
      <c r="J20" s="14" t="str">
        <f>IF(SET!P18="","",SET!Y18)</f>
        <v/>
      </c>
      <c r="K20" s="8" t="str">
        <f>IF(SET!P18="","",SUBSTITUTE(SET!AA18,"(Stream)",""))</f>
        <v/>
      </c>
      <c r="L20" s="15" t="str">
        <f>IF(SET!P18="","",SUBSTITUTE(SET!AC18,"(Stream)",""))</f>
        <v/>
      </c>
      <c r="M20" s="16" t="str">
        <f>IF(SET!P18="","",SET!T18)</f>
        <v/>
      </c>
      <c r="N20" s="17" t="str">
        <f>IF(SET!P18="","",SET!S18)</f>
        <v/>
      </c>
      <c r="O20" s="17" t="str">
        <f>IF(SET!P18="","",SET!U18)</f>
        <v/>
      </c>
      <c r="P20" s="18"/>
    </row>
    <row r="21" ht="37.5" customHeight="1">
      <c r="A21" s="7" t="str">
        <f>IF(SET!P19="","",SET!L19)</f>
        <v/>
      </c>
      <c r="B21" s="8" t="str">
        <f>IF(SET!P19="","",TEXT(DATE(SET!O19,SET!N19,SET!M19),"DD/MM/YYYY"))</f>
        <v/>
      </c>
      <c r="C21" s="9" t="str">
        <f>IF(SET!P19="","",SET!P19)</f>
        <v/>
      </c>
      <c r="D21" s="10" t="str">
        <f>IF(SET!P19="","",TEXT(TIME(SET!Q19,SET!R19,0),"HH:MM"))</f>
        <v/>
      </c>
      <c r="E21" s="11" t="str">
        <f>IF(SET!P19="","",IF(SET!T19="iScout","📱",IF(SET!T19="XSA Neo","💻","📞")))</f>
        <v/>
      </c>
      <c r="F21" s="12" t="str">
        <f>IF(SET!P19="","",IFERROR(VLOOKUP(SET!U19,SET!$E$118:$G$161,2,FALSE),"⚽"))</f>
        <v/>
      </c>
      <c r="G21" s="13" t="str">
        <f>IF(SET!P19="","",IFERROR(VLOOKUP(SET!V19,SET!$B$56:$C$270,2,FALSE),"🌍"))</f>
        <v/>
      </c>
      <c r="H21" s="8" t="str">
        <f>IF(SET!P19="","",SET!W19)</f>
        <v/>
      </c>
      <c r="I21" s="14" t="str">
        <f>IF(SET!P19="","",SET!X19)</f>
        <v/>
      </c>
      <c r="J21" s="14" t="str">
        <f>IF(SET!P19="","",SET!Y19)</f>
        <v/>
      </c>
      <c r="K21" s="8" t="str">
        <f>IF(SET!P19="","",SUBSTITUTE(SET!AA19,"(Stream)",""))</f>
        <v/>
      </c>
      <c r="L21" s="15" t="str">
        <f>IF(SET!P19="","",SUBSTITUTE(SET!AC19,"(Stream)",""))</f>
        <v/>
      </c>
      <c r="M21" s="16" t="str">
        <f>IF(SET!P19="","",SET!T19)</f>
        <v/>
      </c>
      <c r="N21" s="17" t="str">
        <f>IF(SET!P19="","",SET!S19)</f>
        <v/>
      </c>
      <c r="O21" s="17" t="str">
        <f>IF(SET!P19="","",SET!U19)</f>
        <v/>
      </c>
      <c r="P21" s="18"/>
    </row>
    <row r="22" ht="37.5" customHeight="1">
      <c r="A22" s="7" t="str">
        <f>IF(SET!P20="","",SET!L20)</f>
        <v/>
      </c>
      <c r="B22" s="8" t="str">
        <f>IF(SET!P20="","",TEXT(DATE(SET!O20,SET!N20,SET!M20),"DD/MM/YYYY"))</f>
        <v/>
      </c>
      <c r="C22" s="9" t="str">
        <f>IF(SET!P20="","",SET!P20)</f>
        <v/>
      </c>
      <c r="D22" s="10" t="str">
        <f>IF(SET!P20="","",TEXT(TIME(SET!Q20,SET!R20,0),"HH:MM"))</f>
        <v/>
      </c>
      <c r="E22" s="11" t="str">
        <f>IF(SET!P20="","",IF(SET!T20="iScout","📱",IF(SET!T20="XSA Neo","💻","📞")))</f>
        <v/>
      </c>
      <c r="F22" s="12" t="str">
        <f>IF(SET!P20="","",IFERROR(VLOOKUP(SET!U20,SET!$E$118:$G$161,2,FALSE),"⚽"))</f>
        <v/>
      </c>
      <c r="G22" s="13" t="str">
        <f>IF(SET!P20="","",IFERROR(VLOOKUP(SET!V20,SET!$B$56:$C$270,2,FALSE),"🌍"))</f>
        <v/>
      </c>
      <c r="H22" s="8" t="str">
        <f>IF(SET!P20="","",SET!W20)</f>
        <v/>
      </c>
      <c r="I22" s="14" t="str">
        <f>IF(SET!P20="","",SET!X20)</f>
        <v/>
      </c>
      <c r="J22" s="14" t="str">
        <f>IF(SET!P20="","",SET!Y20)</f>
        <v/>
      </c>
      <c r="K22" s="8" t="str">
        <f>IF(SET!P20="","",SUBSTITUTE(SET!AA20,"(Stream)",""))</f>
        <v/>
      </c>
      <c r="L22" s="15" t="str">
        <f>IF(SET!P20="","",SUBSTITUTE(SET!AC20,"(Stream)",""))</f>
        <v/>
      </c>
      <c r="M22" s="16" t="str">
        <f>IF(SET!P20="","",SET!T20)</f>
        <v/>
      </c>
      <c r="N22" s="17" t="str">
        <f>IF(SET!P20="","",SET!S20)</f>
        <v/>
      </c>
      <c r="O22" s="17" t="str">
        <f>IF(SET!P20="","",SET!U20)</f>
        <v/>
      </c>
      <c r="P22" s="18"/>
    </row>
    <row r="23" ht="37.5" customHeight="1">
      <c r="A23" s="7" t="str">
        <f>IF(SET!P21="","",SET!L21)</f>
        <v/>
      </c>
      <c r="B23" s="8" t="str">
        <f>IF(SET!P21="","",TEXT(DATE(SET!O21,SET!N21,SET!M21),"DD/MM/YYYY"))</f>
        <v/>
      </c>
      <c r="C23" s="9" t="str">
        <f>IF(SET!P21="","",SET!P21)</f>
        <v/>
      </c>
      <c r="D23" s="10" t="str">
        <f>IF(SET!P21="","",TEXT(TIME(SET!Q21,SET!R21,0),"HH:MM"))</f>
        <v/>
      </c>
      <c r="E23" s="11" t="str">
        <f>IF(SET!P21="","",IF(SET!T21="iScout","📱",IF(SET!T21="XSA Neo","💻","📞")))</f>
        <v/>
      </c>
      <c r="F23" s="12" t="str">
        <f>IF(SET!P21="","",IFERROR(VLOOKUP(SET!U21,SET!$E$118:$G$161,2,FALSE),"⚽"))</f>
        <v/>
      </c>
      <c r="G23" s="13" t="str">
        <f>IF(SET!P21="","",IFERROR(VLOOKUP(SET!V21,SET!$B$56:$C$270,2,FALSE),"🌍"))</f>
        <v/>
      </c>
      <c r="H23" s="8" t="str">
        <f>IF(SET!P21="","",SET!W21)</f>
        <v/>
      </c>
      <c r="I23" s="14" t="str">
        <f>IF(SET!P21="","",SET!X21)</f>
        <v/>
      </c>
      <c r="J23" s="14" t="str">
        <f>IF(SET!P21="","",SET!Y21)</f>
        <v/>
      </c>
      <c r="K23" s="8" t="str">
        <f>IF(SET!P21="","",SUBSTITUTE(SET!AA21,"(Stream)",""))</f>
        <v/>
      </c>
      <c r="L23" s="15" t="str">
        <f>IF(SET!P21="","",SUBSTITUTE(SET!AC21,"(Stream)",""))</f>
        <v/>
      </c>
      <c r="M23" s="16" t="str">
        <f>IF(SET!P21="","",SET!T21)</f>
        <v/>
      </c>
      <c r="N23" s="17" t="str">
        <f>IF(SET!P21="","",SET!S21)</f>
        <v/>
      </c>
      <c r="O23" s="17" t="str">
        <f>IF(SET!P21="","",SET!U21)</f>
        <v/>
      </c>
      <c r="P23" s="18"/>
    </row>
    <row r="24" ht="37.5" customHeight="1">
      <c r="A24" s="7" t="str">
        <f>IF(SET!P22="","",SET!L22)</f>
        <v/>
      </c>
      <c r="B24" s="8" t="str">
        <f>IF(SET!P22="","",TEXT(DATE(SET!O22,SET!N22,SET!M22),"DD/MM/YYYY"))</f>
        <v/>
      </c>
      <c r="C24" s="9" t="str">
        <f>IF(SET!P22="","",SET!P22)</f>
        <v/>
      </c>
      <c r="D24" s="10" t="str">
        <f>IF(SET!P22="","",TEXT(TIME(SET!Q22,SET!R22,0),"HH:MM"))</f>
        <v/>
      </c>
      <c r="E24" s="11" t="str">
        <f>IF(SET!P22="","",IF(SET!T22="iScout","📱",IF(SET!T22="XSA Neo","💻","📞")))</f>
        <v/>
      </c>
      <c r="F24" s="12" t="str">
        <f>IF(SET!P22="","",IFERROR(VLOOKUP(SET!U22,SET!$E$118:$G$161,2,FALSE),"⚽"))</f>
        <v/>
      </c>
      <c r="G24" s="13" t="str">
        <f>IF(SET!P22="","",IFERROR(VLOOKUP(SET!V22,SET!$B$56:$C$270,2,FALSE),"🌍"))</f>
        <v/>
      </c>
      <c r="H24" s="8" t="str">
        <f>IF(SET!P22="","",SET!W22)</f>
        <v/>
      </c>
      <c r="I24" s="14" t="str">
        <f>IF(SET!P22="","",SET!X22)</f>
        <v/>
      </c>
      <c r="J24" s="14" t="str">
        <f>IF(SET!P22="","",SET!Y22)</f>
        <v/>
      </c>
      <c r="K24" s="8" t="str">
        <f>IF(SET!P22="","",SUBSTITUTE(SET!AA22,"(Stream)",""))</f>
        <v/>
      </c>
      <c r="L24" s="15" t="str">
        <f>IF(SET!P22="","",SUBSTITUTE(SET!AC22,"(Stream)",""))</f>
        <v/>
      </c>
      <c r="M24" s="16" t="str">
        <f>IF(SET!P22="","",SET!T22)</f>
        <v/>
      </c>
      <c r="N24" s="17" t="str">
        <f>IF(SET!P22="","",SET!S22)</f>
        <v/>
      </c>
      <c r="O24" s="17" t="str">
        <f>IF(SET!P22="","",SET!U22)</f>
        <v/>
      </c>
      <c r="P24" s="18"/>
    </row>
    <row r="25" ht="37.5" customHeight="1">
      <c r="A25" s="7" t="str">
        <f>IF(SET!P23="","",SET!L23)</f>
        <v/>
      </c>
      <c r="B25" s="8" t="str">
        <f>IF(SET!P23="","",TEXT(DATE(SET!O23,SET!N23,SET!M23),"DD/MM/YYYY"))</f>
        <v/>
      </c>
      <c r="C25" s="9" t="str">
        <f>IF(SET!P23="","",SET!P23)</f>
        <v/>
      </c>
      <c r="D25" s="10" t="str">
        <f>IF(SET!P23="","",TEXT(TIME(SET!Q23,SET!R23,0),"HH:MM"))</f>
        <v/>
      </c>
      <c r="E25" s="11" t="str">
        <f>IF(SET!P23="","",IF(SET!T23="iScout","📱",IF(SET!T23="XSA Neo","💻","📞")))</f>
        <v/>
      </c>
      <c r="F25" s="12" t="str">
        <f>IF(SET!P23="","",IFERROR(VLOOKUP(SET!U23,SET!$E$118:$G$161,2,FALSE),"⚽"))</f>
        <v/>
      </c>
      <c r="G25" s="13" t="str">
        <f>IF(SET!P23="","",IFERROR(VLOOKUP(SET!V23,SET!$B$56:$C$270,2,FALSE),"🌍"))</f>
        <v/>
      </c>
      <c r="H25" s="8" t="str">
        <f>IF(SET!P23="","",SET!W23)</f>
        <v/>
      </c>
      <c r="I25" s="14" t="str">
        <f>IF(SET!P23="","",SET!X23)</f>
        <v/>
      </c>
      <c r="J25" s="14" t="str">
        <f>IF(SET!P23="","",SET!Y23)</f>
        <v/>
      </c>
      <c r="K25" s="8" t="str">
        <f>IF(SET!P23="","",SUBSTITUTE(SET!AA23,"(Stream)",""))</f>
        <v/>
      </c>
      <c r="L25" s="15" t="str">
        <f>IF(SET!P23="","",SUBSTITUTE(SET!AC23,"(Stream)",""))</f>
        <v/>
      </c>
      <c r="M25" s="16" t="str">
        <f>IF(SET!P23="","",SET!T23)</f>
        <v/>
      </c>
      <c r="N25" s="17" t="str">
        <f>IF(SET!P23="","",SET!S23)</f>
        <v/>
      </c>
      <c r="O25" s="17" t="str">
        <f>IF(SET!P23="","",SET!U23)</f>
        <v/>
      </c>
      <c r="P25" s="18"/>
    </row>
    <row r="26" ht="37.5" customHeight="1">
      <c r="A26" s="7" t="str">
        <f>IF(SET!P24="","",SET!L24)</f>
        <v/>
      </c>
      <c r="B26" s="8" t="str">
        <f>IF(SET!P24="","",TEXT(DATE(SET!O24,SET!N24,SET!M24),"DD/MM/YYYY"))</f>
        <v/>
      </c>
      <c r="C26" s="9" t="str">
        <f>IF(SET!P24="","",SET!P24)</f>
        <v/>
      </c>
      <c r="D26" s="10" t="str">
        <f>IF(SET!P24="","",TEXT(TIME(SET!Q24,SET!R24,0),"HH:MM"))</f>
        <v/>
      </c>
      <c r="E26" s="11" t="str">
        <f>IF(SET!P24="","",IF(SET!T24="iScout","📱",IF(SET!T24="XSA Neo","💻","📞")))</f>
        <v/>
      </c>
      <c r="F26" s="12" t="str">
        <f>IF(SET!P24="","",IFERROR(VLOOKUP(SET!U24,SET!$E$118:$G$161,2,FALSE),"⚽"))</f>
        <v/>
      </c>
      <c r="G26" s="13" t="str">
        <f>IF(SET!P24="","",IFERROR(VLOOKUP(SET!V24,SET!$B$56:$C$270,2,FALSE),"🌍"))</f>
        <v/>
      </c>
      <c r="H26" s="8" t="str">
        <f>IF(SET!P24="","",SET!W24)</f>
        <v/>
      </c>
      <c r="I26" s="14" t="str">
        <f>IF(SET!P24="","",SET!X24)</f>
        <v/>
      </c>
      <c r="J26" s="14" t="str">
        <f>IF(SET!P24="","",SET!Y24)</f>
        <v/>
      </c>
      <c r="K26" s="8" t="str">
        <f>IF(SET!P24="","",SUBSTITUTE(SET!AA24,"(Stream)",""))</f>
        <v/>
      </c>
      <c r="L26" s="15" t="str">
        <f>IF(SET!P24="","",SUBSTITUTE(SET!AC24,"(Stream)",""))</f>
        <v/>
      </c>
      <c r="M26" s="16" t="str">
        <f>IF(SET!P24="","",SET!T24)</f>
        <v/>
      </c>
      <c r="N26" s="17" t="str">
        <f>IF(SET!P24="","",SET!S24)</f>
        <v/>
      </c>
      <c r="O26" s="17" t="str">
        <f>IF(SET!P24="","",SET!U24)</f>
        <v/>
      </c>
      <c r="P26" s="18"/>
    </row>
    <row r="27" ht="37.5" customHeight="1">
      <c r="A27" s="7" t="str">
        <f>IF(SET!P25="","",SET!L25)</f>
        <v/>
      </c>
      <c r="B27" s="8" t="str">
        <f>IF(SET!P25="","",TEXT(DATE(SET!O25,SET!N25,SET!M25),"DD/MM/YYYY"))</f>
        <v/>
      </c>
      <c r="C27" s="9" t="str">
        <f>IF(SET!P25="","",SET!P25)</f>
        <v/>
      </c>
      <c r="D27" s="10" t="str">
        <f>IF(SET!P25="","",TEXT(TIME(SET!Q25,SET!R25,0),"HH:MM"))</f>
        <v/>
      </c>
      <c r="E27" s="11" t="str">
        <f>IF(SET!P25="","",IF(SET!T25="iScout","📱",IF(SET!T25="XSA Neo","💻","📞")))</f>
        <v/>
      </c>
      <c r="F27" s="12" t="str">
        <f>IF(SET!P25="","",IFERROR(VLOOKUP(SET!U25,SET!$E$118:$G$161,2,FALSE),"⚽"))</f>
        <v/>
      </c>
      <c r="G27" s="13" t="str">
        <f>IF(SET!P25="","",IFERROR(VLOOKUP(SET!V25,SET!$B$56:$C$270,2,FALSE),"🌍"))</f>
        <v/>
      </c>
      <c r="H27" s="8" t="str">
        <f>IF(SET!P25="","",SET!W25)</f>
        <v/>
      </c>
      <c r="I27" s="14" t="str">
        <f>IF(SET!P25="","",SET!X25)</f>
        <v/>
      </c>
      <c r="J27" s="14" t="str">
        <f>IF(SET!P25="","",SET!Y25)</f>
        <v/>
      </c>
      <c r="K27" s="8" t="str">
        <f>IF(SET!P25="","",SUBSTITUTE(SET!AA25,"(Stream)",""))</f>
        <v/>
      </c>
      <c r="L27" s="15" t="str">
        <f>IF(SET!P25="","",SUBSTITUTE(SET!AC25,"(Stream)",""))</f>
        <v/>
      </c>
      <c r="M27" s="16" t="str">
        <f>IF(SET!P25="","",SET!T25)</f>
        <v/>
      </c>
      <c r="N27" s="17" t="str">
        <f>IF(SET!P25="","",SET!S25)</f>
        <v/>
      </c>
      <c r="O27" s="17" t="str">
        <f>IF(SET!P25="","",SET!U25)</f>
        <v/>
      </c>
      <c r="P27" s="18"/>
    </row>
    <row r="28" ht="37.5" customHeight="1">
      <c r="A28" s="7" t="str">
        <f>IF(SET!P26="","",SET!L26)</f>
        <v/>
      </c>
      <c r="B28" s="8" t="str">
        <f>IF(SET!P26="","",TEXT(DATE(SET!O26,SET!N26,SET!M26),"DD/MM/YYYY"))</f>
        <v/>
      </c>
      <c r="C28" s="9" t="str">
        <f>IF(SET!P26="","",SET!P26)</f>
        <v/>
      </c>
      <c r="D28" s="10" t="str">
        <f>IF(SET!P26="","",TEXT(TIME(SET!Q26,SET!R26,0),"HH:MM"))</f>
        <v/>
      </c>
      <c r="E28" s="11" t="str">
        <f>IF(SET!P26="","",IF(SET!T26="iScout","📱",IF(SET!T26="XSA Neo","💻","📞")))</f>
        <v/>
      </c>
      <c r="F28" s="12" t="str">
        <f>IF(SET!P26="","",IFERROR(VLOOKUP(SET!U26,SET!$E$118:$G$161,2,FALSE),"⚽"))</f>
        <v/>
      </c>
      <c r="G28" s="13" t="str">
        <f>IF(SET!P26="","",IFERROR(VLOOKUP(SET!V26,SET!$B$56:$C$270,2,FALSE),"🌍"))</f>
        <v/>
      </c>
      <c r="H28" s="8" t="str">
        <f>IF(SET!P26="","",SET!W26)</f>
        <v/>
      </c>
      <c r="I28" s="14" t="str">
        <f>IF(SET!P26="","",SET!X26)</f>
        <v/>
      </c>
      <c r="J28" s="14" t="str">
        <f>IF(SET!P26="","",SET!Y26)</f>
        <v/>
      </c>
      <c r="K28" s="8" t="str">
        <f>IF(SET!P26="","",SUBSTITUTE(SET!AA26,"(Stream)",""))</f>
        <v/>
      </c>
      <c r="L28" s="15" t="str">
        <f>IF(SET!P26="","",SUBSTITUTE(SET!AC26,"(Stream)",""))</f>
        <v/>
      </c>
      <c r="M28" s="16" t="str">
        <f>IF(SET!P26="","",SET!T26)</f>
        <v/>
      </c>
      <c r="N28" s="17" t="str">
        <f>IF(SET!P26="","",SET!S26)</f>
        <v/>
      </c>
      <c r="O28" s="17" t="str">
        <f>IF(SET!P26="","",SET!U26)</f>
        <v/>
      </c>
      <c r="P28" s="18"/>
    </row>
    <row r="29" ht="37.5" customHeight="1">
      <c r="A29" s="7" t="str">
        <f>IF(SET!P27="","",SET!L27)</f>
        <v/>
      </c>
      <c r="B29" s="8" t="str">
        <f>IF(SET!P27="","",TEXT(DATE(SET!O27,SET!N27,SET!M27),"DD/MM/YYYY"))</f>
        <v/>
      </c>
      <c r="C29" s="9" t="str">
        <f>IF(SET!P27="","",SET!P27)</f>
        <v/>
      </c>
      <c r="D29" s="10" t="str">
        <f>IF(SET!P27="","",TEXT(TIME(SET!Q27,SET!R27,0),"HH:MM"))</f>
        <v/>
      </c>
      <c r="E29" s="11" t="str">
        <f>IF(SET!P27="","",IF(SET!T27="iScout","📱",IF(SET!T27="XSA Neo","💻","📞")))</f>
        <v/>
      </c>
      <c r="F29" s="12" t="str">
        <f>IF(SET!P27="","",IFERROR(VLOOKUP(SET!U27,SET!$E$118:$G$161,2,FALSE),"⚽"))</f>
        <v/>
      </c>
      <c r="G29" s="13" t="str">
        <f>IF(SET!P27="","",IFERROR(VLOOKUP(SET!V27,SET!$B$56:$C$270,2,FALSE),"🌍"))</f>
        <v/>
      </c>
      <c r="H29" s="8" t="str">
        <f>IF(SET!P27="","",SET!W27)</f>
        <v/>
      </c>
      <c r="I29" s="14" t="str">
        <f>IF(SET!P27="","",SET!X27)</f>
        <v/>
      </c>
      <c r="J29" s="14" t="str">
        <f>IF(SET!P27="","",SET!Y27)</f>
        <v/>
      </c>
      <c r="K29" s="8" t="str">
        <f>IF(SET!P27="","",SUBSTITUTE(SET!AA27,"(Stream)",""))</f>
        <v/>
      </c>
      <c r="L29" s="15" t="str">
        <f>IF(SET!P27="","",SUBSTITUTE(SET!AC27,"(Stream)",""))</f>
        <v/>
      </c>
      <c r="M29" s="16" t="str">
        <f>IF(SET!P27="","",SET!T27)</f>
        <v/>
      </c>
      <c r="N29" s="17" t="str">
        <f>IF(SET!P27="","",SET!S27)</f>
        <v/>
      </c>
      <c r="O29" s="17" t="str">
        <f>IF(SET!P27="","",SET!U27)</f>
        <v/>
      </c>
      <c r="P29" s="18"/>
    </row>
    <row r="30" ht="37.5" customHeight="1">
      <c r="A30" s="7" t="str">
        <f>IF(SET!P28="","",SET!L28)</f>
        <v/>
      </c>
      <c r="B30" s="8" t="str">
        <f>IF(SET!P28="","",TEXT(DATE(SET!O28,SET!N28,SET!M28),"DD/MM/YYYY"))</f>
        <v/>
      </c>
      <c r="C30" s="9" t="str">
        <f>IF(SET!P28="","",SET!P28)</f>
        <v/>
      </c>
      <c r="D30" s="10" t="str">
        <f>IF(SET!P28="","",TEXT(TIME(SET!Q28,SET!R28,0),"HH:MM"))</f>
        <v/>
      </c>
      <c r="E30" s="11" t="str">
        <f>IF(SET!P28="","",IF(SET!T28="iScout","📱",IF(SET!T28="XSA Neo","💻","📞")))</f>
        <v/>
      </c>
      <c r="F30" s="12" t="str">
        <f>IF(SET!P28="","",IFERROR(VLOOKUP(SET!U28,SET!$E$118:$G$161,2,FALSE),"⚽"))</f>
        <v/>
      </c>
      <c r="G30" s="13" t="str">
        <f>IF(SET!P28="","",IFERROR(VLOOKUP(SET!V28,SET!$B$56:$C$270,2,FALSE),"🌍"))</f>
        <v/>
      </c>
      <c r="H30" s="8" t="str">
        <f>IF(SET!P28="","",SET!W28)</f>
        <v/>
      </c>
      <c r="I30" s="14" t="str">
        <f>IF(SET!P28="","",SET!X28)</f>
        <v/>
      </c>
      <c r="J30" s="14" t="str">
        <f>IF(SET!P28="","",SET!Y28)</f>
        <v/>
      </c>
      <c r="K30" s="8" t="str">
        <f>IF(SET!P28="","",SUBSTITUTE(SET!AA28,"(Stream)",""))</f>
        <v/>
      </c>
      <c r="L30" s="15" t="str">
        <f>IF(SET!P28="","",SUBSTITUTE(SET!AC28,"(Stream)",""))</f>
        <v/>
      </c>
      <c r="M30" s="16" t="str">
        <f>IF(SET!P28="","",SET!T28)</f>
        <v/>
      </c>
      <c r="N30" s="17" t="str">
        <f>IF(SET!P28="","",SET!S28)</f>
        <v/>
      </c>
      <c r="O30" s="17" t="str">
        <f>IF(SET!P28="","",SET!U28)</f>
        <v/>
      </c>
      <c r="P30" s="18"/>
    </row>
    <row r="31" ht="37.5" customHeight="1">
      <c r="A31" s="7" t="str">
        <f>IF(SET!P29="","",SET!L29)</f>
        <v/>
      </c>
      <c r="B31" s="8" t="str">
        <f>IF(SET!P29="","",TEXT(DATE(SET!O29,SET!N29,SET!M29),"DD/MM/YYYY"))</f>
        <v/>
      </c>
      <c r="C31" s="9" t="str">
        <f>IF(SET!P29="","",SET!P29)</f>
        <v/>
      </c>
      <c r="D31" s="10" t="str">
        <f>IF(SET!P29="","",TEXT(TIME(SET!Q29,SET!R29,0),"HH:MM"))</f>
        <v/>
      </c>
      <c r="E31" s="11" t="str">
        <f>IF(SET!P29="","",IF(SET!T29="iScout","📱",IF(SET!T29="XSA Neo","💻","📞")))</f>
        <v/>
      </c>
      <c r="F31" s="12" t="str">
        <f>IF(SET!P29="","",IFERROR(VLOOKUP(SET!U29,SET!$E$118:$G$161,2,FALSE),"⚽"))</f>
        <v/>
      </c>
      <c r="G31" s="13" t="str">
        <f>IF(SET!P29="","",IFERROR(VLOOKUP(SET!V29,SET!$B$56:$C$270,2,FALSE),"🌍"))</f>
        <v/>
      </c>
      <c r="H31" s="8" t="str">
        <f>IF(SET!P29="","",SET!W29)</f>
        <v/>
      </c>
      <c r="I31" s="14" t="str">
        <f>IF(SET!P29="","",SET!X29)</f>
        <v/>
      </c>
      <c r="J31" s="14" t="str">
        <f>IF(SET!P29="","",SET!Y29)</f>
        <v/>
      </c>
      <c r="K31" s="8" t="str">
        <f>IF(SET!P29="","",SUBSTITUTE(SET!AA29,"(Stream)",""))</f>
        <v/>
      </c>
      <c r="L31" s="15" t="str">
        <f>IF(SET!P29="","",SUBSTITUTE(SET!AC29,"(Stream)",""))</f>
        <v/>
      </c>
      <c r="M31" s="16" t="str">
        <f>IF(SET!P29="","",SET!T29)</f>
        <v/>
      </c>
      <c r="N31" s="17" t="str">
        <f>IF(SET!P29="","",SET!S29)</f>
        <v/>
      </c>
      <c r="O31" s="17" t="str">
        <f>IF(SET!P29="","",SET!U29)</f>
        <v/>
      </c>
      <c r="P31" s="18"/>
    </row>
    <row r="32" ht="37.5" customHeight="1">
      <c r="A32" s="7" t="str">
        <f>IF(SET!P30="","",SET!L30)</f>
        <v/>
      </c>
      <c r="B32" s="8" t="str">
        <f>IF(SET!P30="","",TEXT(DATE(SET!O30,SET!N30,SET!M30),"DD/MM/YYYY"))</f>
        <v/>
      </c>
      <c r="C32" s="9" t="str">
        <f>IF(SET!P30="","",SET!P30)</f>
        <v/>
      </c>
      <c r="D32" s="10" t="str">
        <f>IF(SET!P30="","",TEXT(TIME(SET!Q30,SET!R30,0),"HH:MM"))</f>
        <v/>
      </c>
      <c r="E32" s="11" t="str">
        <f>IF(SET!P30="","",IF(SET!T30="iScout","📱",IF(SET!T30="XSA Neo","💻","📞")))</f>
        <v/>
      </c>
      <c r="F32" s="12" t="str">
        <f>IF(SET!P30="","",IFERROR(VLOOKUP(SET!U30,SET!$E$118:$G$161,2,FALSE),"⚽"))</f>
        <v/>
      </c>
      <c r="G32" s="13" t="str">
        <f>IF(SET!P30="","",IFERROR(VLOOKUP(SET!V30,SET!$B$56:$C$270,2,FALSE),"🌍"))</f>
        <v/>
      </c>
      <c r="H32" s="8" t="str">
        <f>IF(SET!P30="","",SET!W30)</f>
        <v/>
      </c>
      <c r="I32" s="14" t="str">
        <f>IF(SET!P30="","",SET!X30)</f>
        <v/>
      </c>
      <c r="J32" s="14" t="str">
        <f>IF(SET!P30="","",SET!Y30)</f>
        <v/>
      </c>
      <c r="K32" s="8" t="str">
        <f>IF(SET!P30="","",SUBSTITUTE(SET!AA30,"(Stream)",""))</f>
        <v/>
      </c>
      <c r="L32" s="15" t="str">
        <f>IF(SET!P30="","",SUBSTITUTE(SET!AC30,"(Stream)",""))</f>
        <v/>
      </c>
      <c r="M32" s="16" t="str">
        <f>IF(SET!P30="","",SET!T30)</f>
        <v/>
      </c>
      <c r="N32" s="17" t="str">
        <f>IF(SET!P30="","",SET!S30)</f>
        <v/>
      </c>
      <c r="O32" s="17" t="str">
        <f>IF(SET!P30="","",SET!U30)</f>
        <v/>
      </c>
      <c r="P32" s="18"/>
    </row>
    <row r="33" ht="37.5" customHeight="1">
      <c r="A33" s="7" t="str">
        <f>IF(SET!P31="","",SET!L31)</f>
        <v/>
      </c>
      <c r="B33" s="8" t="str">
        <f>IF(SET!P31="","",TEXT(DATE(SET!O31,SET!N31,SET!M31),"DD/MM/YYYY"))</f>
        <v/>
      </c>
      <c r="C33" s="9" t="str">
        <f>IF(SET!P31="","",SET!P31)</f>
        <v/>
      </c>
      <c r="D33" s="10" t="str">
        <f>IF(SET!P31="","",TEXT(TIME(SET!Q31,SET!R31,0),"HH:MM"))</f>
        <v/>
      </c>
      <c r="E33" s="11" t="str">
        <f>IF(SET!P31="","",IF(SET!T31="iScout","📱",IF(SET!T31="XSA Neo","💻","📞")))</f>
        <v/>
      </c>
      <c r="F33" s="12" t="str">
        <f>IF(SET!P31="","",IFERROR(VLOOKUP(SET!U31,SET!$E$118:$G$161,2,FALSE),"⚽"))</f>
        <v/>
      </c>
      <c r="G33" s="13" t="str">
        <f>IF(SET!P31="","",IFERROR(VLOOKUP(SET!V31,SET!$B$56:$C$270,2,FALSE),"🌍"))</f>
        <v/>
      </c>
      <c r="H33" s="8" t="str">
        <f>IF(SET!P31="","",SET!W31)</f>
        <v/>
      </c>
      <c r="I33" s="14" t="str">
        <f>IF(SET!P31="","",SET!X31)</f>
        <v/>
      </c>
      <c r="J33" s="14" t="str">
        <f>IF(SET!P31="","",SET!Y31)</f>
        <v/>
      </c>
      <c r="K33" s="8" t="str">
        <f>IF(SET!P31="","",SUBSTITUTE(SET!AA31,"(Stream)",""))</f>
        <v/>
      </c>
      <c r="L33" s="15" t="str">
        <f>IF(SET!P31="","",SUBSTITUTE(SET!AC31,"(Stream)",""))</f>
        <v/>
      </c>
      <c r="M33" s="16" t="str">
        <f>IF(SET!P31="","",SET!T31)</f>
        <v/>
      </c>
      <c r="N33" s="17" t="str">
        <f>IF(SET!P31="","",SET!S31)</f>
        <v/>
      </c>
      <c r="O33" s="17" t="str">
        <f>IF(SET!P31="","",SET!U31)</f>
        <v/>
      </c>
      <c r="P33" s="18"/>
    </row>
    <row r="34" ht="37.5" customHeight="1">
      <c r="A34" s="7" t="str">
        <f>IF(SET!P32="","",SET!L32)</f>
        <v/>
      </c>
      <c r="B34" s="8" t="str">
        <f>IF(SET!P32="","",TEXT(DATE(SET!O32,SET!N32,SET!M32),"DD/MM/YYYY"))</f>
        <v/>
      </c>
      <c r="C34" s="9" t="str">
        <f>IF(SET!P32="","",SET!P32)</f>
        <v/>
      </c>
      <c r="D34" s="10" t="str">
        <f>IF(SET!P32="","",TEXT(TIME(SET!Q32,SET!R32,0),"HH:MM"))</f>
        <v/>
      </c>
      <c r="E34" s="11" t="str">
        <f>IF(SET!P32="","",IF(SET!T32="iScout","📱",IF(SET!T32="XSA Neo","💻","📞")))</f>
        <v/>
      </c>
      <c r="F34" s="12" t="str">
        <f>IF(SET!P32="","",IFERROR(VLOOKUP(SET!U32,SET!$E$118:$G$161,2,FALSE),"⚽"))</f>
        <v/>
      </c>
      <c r="G34" s="13" t="str">
        <f>IF(SET!P32="","",IFERROR(VLOOKUP(SET!V32,SET!$B$56:$C$270,2,FALSE),"🌍"))</f>
        <v/>
      </c>
      <c r="H34" s="8" t="str">
        <f>IF(SET!P32="","",SET!W32)</f>
        <v/>
      </c>
      <c r="I34" s="14" t="str">
        <f>IF(SET!P32="","",SET!X32)</f>
        <v/>
      </c>
      <c r="J34" s="14" t="str">
        <f>IF(SET!P32="","",SET!Y32)</f>
        <v/>
      </c>
      <c r="K34" s="8" t="str">
        <f>IF(SET!P32="","",SUBSTITUTE(SET!AA32,"(Stream)",""))</f>
        <v/>
      </c>
      <c r="L34" s="15" t="str">
        <f>IF(SET!P32="","",SUBSTITUTE(SET!AC32,"(Stream)",""))</f>
        <v/>
      </c>
      <c r="M34" s="16" t="str">
        <f>IF(SET!P32="","",SET!T32)</f>
        <v/>
      </c>
      <c r="N34" s="17" t="str">
        <f>IF(SET!P32="","",SET!S32)</f>
        <v/>
      </c>
      <c r="O34" s="17" t="str">
        <f>IF(SET!P32="","",SET!U32)</f>
        <v/>
      </c>
      <c r="P34" s="18"/>
    </row>
    <row r="35" ht="37.5" customHeight="1">
      <c r="A35" s="7" t="str">
        <f>IF(SET!P33="","",SET!L33)</f>
        <v/>
      </c>
      <c r="B35" s="8" t="str">
        <f>IF(SET!P33="","",TEXT(DATE(SET!O33,SET!N33,SET!M33),"DD/MM/YYYY"))</f>
        <v/>
      </c>
      <c r="C35" s="9" t="str">
        <f>IF(SET!P33="","",SET!P33)</f>
        <v/>
      </c>
      <c r="D35" s="10" t="str">
        <f>IF(SET!P33="","",TEXT(TIME(SET!Q33,SET!R33,0),"HH:MM"))</f>
        <v/>
      </c>
      <c r="E35" s="11" t="str">
        <f>IF(SET!P33="","",IF(SET!T33="iScout","📱",IF(SET!T33="XSA Neo","💻","📞")))</f>
        <v/>
      </c>
      <c r="F35" s="12" t="str">
        <f>IF(SET!P33="","",IFERROR(VLOOKUP(SET!U33,SET!$E$118:$G$161,2,FALSE),"⚽"))</f>
        <v/>
      </c>
      <c r="G35" s="13" t="str">
        <f>IF(SET!P33="","",IFERROR(VLOOKUP(SET!V33,SET!$B$56:$C$270,2,FALSE),"🌍"))</f>
        <v/>
      </c>
      <c r="H35" s="8" t="str">
        <f>IF(SET!P33="","",SET!W33)</f>
        <v/>
      </c>
      <c r="I35" s="14" t="str">
        <f>IF(SET!P33="","",SET!X33)</f>
        <v/>
      </c>
      <c r="J35" s="14" t="str">
        <f>IF(SET!P33="","",SET!Y33)</f>
        <v/>
      </c>
      <c r="K35" s="8" t="str">
        <f>IF(SET!P33="","",SUBSTITUTE(SET!AA33,"(Stream)",""))</f>
        <v/>
      </c>
      <c r="L35" s="15" t="str">
        <f>IF(SET!P33="","",SUBSTITUTE(SET!AC33,"(Stream)",""))</f>
        <v/>
      </c>
      <c r="M35" s="16" t="str">
        <f>IF(SET!P33="","",SET!T33)</f>
        <v/>
      </c>
      <c r="N35" s="17" t="str">
        <f>IF(SET!P33="","",SET!S33)</f>
        <v/>
      </c>
      <c r="O35" s="17" t="str">
        <f>IF(SET!P33="","",SET!U33)</f>
        <v/>
      </c>
      <c r="P35" s="18"/>
    </row>
    <row r="36" ht="37.5" customHeight="1">
      <c r="A36" s="7" t="str">
        <f>IF(SET!P34="","",SET!L34)</f>
        <v/>
      </c>
      <c r="B36" s="8" t="str">
        <f>IF(SET!P34="","",TEXT(DATE(SET!O34,SET!N34,SET!M34),"DD/MM/YYYY"))</f>
        <v/>
      </c>
      <c r="C36" s="9" t="str">
        <f>IF(SET!P34="","",SET!P34)</f>
        <v/>
      </c>
      <c r="D36" s="10" t="str">
        <f>IF(SET!P34="","",TEXT(TIME(SET!Q34,SET!R34,0),"HH:MM"))</f>
        <v/>
      </c>
      <c r="E36" s="11" t="str">
        <f>IF(SET!P34="","",IF(SET!T34="iScout","📱",IF(SET!T34="XSA Neo","💻","📞")))</f>
        <v/>
      </c>
      <c r="F36" s="12" t="str">
        <f>IF(SET!P34="","",IFERROR(VLOOKUP(SET!U34,SET!$E$118:$G$161,2,FALSE),"⚽"))</f>
        <v/>
      </c>
      <c r="G36" s="13" t="str">
        <f>IF(SET!P34="","",IFERROR(VLOOKUP(SET!V34,SET!$B$56:$C$270,2,FALSE),"🌍"))</f>
        <v/>
      </c>
      <c r="H36" s="8" t="str">
        <f>IF(SET!P34="","",SET!W34)</f>
        <v/>
      </c>
      <c r="I36" s="14" t="str">
        <f>IF(SET!P34="","",SET!X34)</f>
        <v/>
      </c>
      <c r="J36" s="14" t="str">
        <f>IF(SET!P34="","",SET!Y34)</f>
        <v/>
      </c>
      <c r="K36" s="8" t="str">
        <f>IF(SET!P34="","",SUBSTITUTE(SET!AA34,"(Stream)",""))</f>
        <v/>
      </c>
      <c r="L36" s="15" t="str">
        <f>IF(SET!P34="","",SUBSTITUTE(SET!AC34,"(Stream)",""))</f>
        <v/>
      </c>
      <c r="M36" s="16" t="str">
        <f>IF(SET!P34="","",SET!T34)</f>
        <v/>
      </c>
      <c r="N36" s="17" t="str">
        <f>IF(SET!P34="","",SET!S34)</f>
        <v/>
      </c>
      <c r="O36" s="17" t="str">
        <f>IF(SET!P34="","",SET!U34)</f>
        <v/>
      </c>
      <c r="P36" s="18"/>
    </row>
    <row r="37" ht="37.5" customHeight="1">
      <c r="A37" s="7" t="str">
        <f>IF(SET!P35="","",SET!L35)</f>
        <v/>
      </c>
      <c r="B37" s="8" t="str">
        <f>IF(SET!P35="","",TEXT(DATE(SET!O35,SET!N35,SET!M35),"DD/MM/YYYY"))</f>
        <v/>
      </c>
      <c r="C37" s="9" t="str">
        <f>IF(SET!P35="","",SET!P35)</f>
        <v/>
      </c>
      <c r="D37" s="10" t="str">
        <f>IF(SET!P35="","",TEXT(TIME(SET!Q35,SET!R35,0),"HH:MM"))</f>
        <v/>
      </c>
      <c r="E37" s="11" t="str">
        <f>IF(SET!P35="","",IF(SET!T35="iScout","📱",IF(SET!T35="XSA Neo","💻","📞")))</f>
        <v/>
      </c>
      <c r="F37" s="12" t="str">
        <f>IF(SET!P35="","",IFERROR(VLOOKUP(SET!U35,SET!$E$118:$G$161,2,FALSE),"⚽"))</f>
        <v/>
      </c>
      <c r="G37" s="13" t="str">
        <f>IF(SET!P35="","",IFERROR(VLOOKUP(SET!V35,SET!$B$56:$C$270,2,FALSE),"🌍"))</f>
        <v/>
      </c>
      <c r="H37" s="8" t="str">
        <f>IF(SET!P35="","",SET!W35)</f>
        <v/>
      </c>
      <c r="I37" s="14" t="str">
        <f>IF(SET!P35="","",SET!X35)</f>
        <v/>
      </c>
      <c r="J37" s="14" t="str">
        <f>IF(SET!P35="","",SET!Y35)</f>
        <v/>
      </c>
      <c r="K37" s="8" t="str">
        <f>IF(SET!P35="","",SUBSTITUTE(SET!AA35,"(Stream)",""))</f>
        <v/>
      </c>
      <c r="L37" s="15" t="str">
        <f>IF(SET!P35="","",SUBSTITUTE(SET!AC35,"(Stream)",""))</f>
        <v/>
      </c>
      <c r="M37" s="16" t="str">
        <f>IF(SET!P35="","",SET!T35)</f>
        <v/>
      </c>
      <c r="N37" s="17" t="str">
        <f>IF(SET!P35="","",SET!S35)</f>
        <v/>
      </c>
      <c r="O37" s="17" t="str">
        <f>IF(SET!P35="","",SET!U35)</f>
        <v/>
      </c>
      <c r="P37" s="18"/>
    </row>
    <row r="38" ht="37.5" customHeight="1">
      <c r="A38" s="7" t="str">
        <f>IF(SET!P36="","",SET!L36)</f>
        <v/>
      </c>
      <c r="B38" s="8" t="str">
        <f>IF(SET!P36="","",TEXT(DATE(SET!O36,SET!N36,SET!M36),"DD/MM/YYYY"))</f>
        <v/>
      </c>
      <c r="C38" s="9" t="str">
        <f>IF(SET!P36="","",SET!P36)</f>
        <v/>
      </c>
      <c r="D38" s="10" t="str">
        <f>IF(SET!P36="","",TEXT(TIME(SET!Q36,SET!R36,0),"HH:MM"))</f>
        <v/>
      </c>
      <c r="E38" s="11" t="str">
        <f>IF(SET!P36="","",IF(SET!T36="iScout","📱",IF(SET!T36="XSA Neo","💻","📞")))</f>
        <v/>
      </c>
      <c r="F38" s="12" t="str">
        <f>IF(SET!P36="","",IFERROR(VLOOKUP(SET!U36,SET!$E$118:$G$161,2,FALSE),"⚽"))</f>
        <v/>
      </c>
      <c r="G38" s="13" t="str">
        <f>IF(SET!P36="","",IFERROR(VLOOKUP(SET!V36,SET!$B$56:$C$270,2,FALSE),"🌍"))</f>
        <v/>
      </c>
      <c r="H38" s="8" t="str">
        <f>IF(SET!P36="","",SET!W36)</f>
        <v/>
      </c>
      <c r="I38" s="14" t="str">
        <f>IF(SET!P36="","",SET!X36)</f>
        <v/>
      </c>
      <c r="J38" s="14" t="str">
        <f>IF(SET!P36="","",SET!Y36)</f>
        <v/>
      </c>
      <c r="K38" s="8" t="str">
        <f>IF(SET!P36="","",SUBSTITUTE(SET!AA36,"(Stream)",""))</f>
        <v/>
      </c>
      <c r="L38" s="15" t="str">
        <f>IF(SET!P36="","",SUBSTITUTE(SET!AC36,"(Stream)",""))</f>
        <v/>
      </c>
      <c r="M38" s="16" t="str">
        <f>IF(SET!P36="","",SET!T36)</f>
        <v/>
      </c>
      <c r="N38" s="17" t="str">
        <f>IF(SET!P36="","",SET!S36)</f>
        <v/>
      </c>
      <c r="O38" s="17" t="str">
        <f>IF(SET!P36="","",SET!U36)</f>
        <v/>
      </c>
      <c r="P38" s="18"/>
    </row>
    <row r="39" ht="37.5" customHeight="1">
      <c r="A39" s="7" t="str">
        <f>IF(SET!P37="","",SET!L37)</f>
        <v/>
      </c>
      <c r="B39" s="8" t="str">
        <f>IF(SET!P37="","",TEXT(DATE(SET!O37,SET!N37,SET!M37),"DD/MM/YYYY"))</f>
        <v/>
      </c>
      <c r="C39" s="9" t="str">
        <f>IF(SET!P37="","",SET!P37)</f>
        <v/>
      </c>
      <c r="D39" s="10" t="str">
        <f>IF(SET!P37="","",TEXT(TIME(SET!Q37,SET!R37,0),"HH:MM"))</f>
        <v/>
      </c>
      <c r="E39" s="11" t="str">
        <f>IF(SET!P37="","",IF(SET!T37="iScout","📱",IF(SET!T37="XSA Neo","💻","📞")))</f>
        <v/>
      </c>
      <c r="F39" s="12" t="str">
        <f>IF(SET!P37="","",IFERROR(VLOOKUP(SET!U37,SET!$E$118:$G$161,2,FALSE),"⚽"))</f>
        <v/>
      </c>
      <c r="G39" s="13" t="str">
        <f>IF(SET!P37="","",IFERROR(VLOOKUP(SET!V37,SET!$B$56:$C$270,2,FALSE),"🌍"))</f>
        <v/>
      </c>
      <c r="H39" s="8" t="str">
        <f>IF(SET!P37="","",SET!W37)</f>
        <v/>
      </c>
      <c r="I39" s="14" t="str">
        <f>IF(SET!P37="","",SET!X37)</f>
        <v/>
      </c>
      <c r="J39" s="14" t="str">
        <f>IF(SET!P37="","",SET!Y37)</f>
        <v/>
      </c>
      <c r="K39" s="8" t="str">
        <f>IF(SET!P37="","",SUBSTITUTE(SET!AA37,"(Stream)",""))</f>
        <v/>
      </c>
      <c r="L39" s="15" t="str">
        <f>IF(SET!P37="","",SUBSTITUTE(SET!AC37,"(Stream)",""))</f>
        <v/>
      </c>
      <c r="M39" s="16" t="str">
        <f>IF(SET!P37="","",SET!T37)</f>
        <v/>
      </c>
      <c r="N39" s="17" t="str">
        <f>IF(SET!P37="","",SET!S37)</f>
        <v/>
      </c>
      <c r="O39" s="17" t="str">
        <f>IF(SET!P37="","",SET!U37)</f>
        <v/>
      </c>
      <c r="P39" s="18"/>
    </row>
    <row r="40" ht="37.5" customHeight="1">
      <c r="A40" s="7" t="str">
        <f>IF(SET!P38="","",SET!L38)</f>
        <v/>
      </c>
      <c r="B40" s="8" t="str">
        <f>IF(SET!P38="","",TEXT(DATE(SET!O38,SET!N38,SET!M38),"DD/MM/YYYY"))</f>
        <v/>
      </c>
      <c r="C40" s="9" t="str">
        <f>IF(SET!P38="","",SET!P38)</f>
        <v/>
      </c>
      <c r="D40" s="10" t="str">
        <f>IF(SET!P38="","",TEXT(TIME(SET!Q38,SET!R38,0),"HH:MM"))</f>
        <v/>
      </c>
      <c r="E40" s="11" t="str">
        <f>IF(SET!P38="","",IF(SET!T38="iScout","📱",IF(SET!T38="XSA Neo","💻","📞")))</f>
        <v/>
      </c>
      <c r="F40" s="12" t="str">
        <f>IF(SET!P38="","",IFERROR(VLOOKUP(SET!U38,SET!$E$118:$G$161,2,FALSE),"⚽"))</f>
        <v/>
      </c>
      <c r="G40" s="13" t="str">
        <f>IF(SET!P38="","",IFERROR(VLOOKUP(SET!V38,SET!$B$56:$C$270,2,FALSE),"🌍"))</f>
        <v/>
      </c>
      <c r="H40" s="8" t="str">
        <f>IF(SET!P38="","",SET!W38)</f>
        <v/>
      </c>
      <c r="I40" s="14" t="str">
        <f>IF(SET!P38="","",SET!X38)</f>
        <v/>
      </c>
      <c r="J40" s="14" t="str">
        <f>IF(SET!P38="","",SET!Y38)</f>
        <v/>
      </c>
      <c r="K40" s="8" t="str">
        <f>IF(SET!P38="","",SUBSTITUTE(SET!AA38,"(Stream)",""))</f>
        <v/>
      </c>
      <c r="L40" s="15" t="str">
        <f>IF(SET!P38="","",SUBSTITUTE(SET!AC38,"(Stream)",""))</f>
        <v/>
      </c>
      <c r="M40" s="16" t="str">
        <f>IF(SET!P38="","",SET!T38)</f>
        <v/>
      </c>
      <c r="N40" s="17" t="str">
        <f>IF(SET!P38="","",SET!S38)</f>
        <v/>
      </c>
      <c r="O40" s="17" t="str">
        <f>IF(SET!P38="","",SET!U38)</f>
        <v/>
      </c>
      <c r="P40" s="18"/>
    </row>
    <row r="41" ht="37.5" customHeight="1">
      <c r="A41" s="7" t="str">
        <f>IF(SET!P39="","",SET!L39)</f>
        <v/>
      </c>
      <c r="B41" s="8" t="str">
        <f>IF(SET!P39="","",TEXT(DATE(SET!O39,SET!N39,SET!M39),"DD/MM/YYYY"))</f>
        <v/>
      </c>
      <c r="C41" s="9" t="str">
        <f>IF(SET!P39="","",SET!P39)</f>
        <v/>
      </c>
      <c r="D41" s="10" t="str">
        <f>IF(SET!P39="","",TEXT(TIME(SET!Q39,SET!R39,0),"HH:MM"))</f>
        <v/>
      </c>
      <c r="E41" s="11" t="str">
        <f>IF(SET!P39="","",IF(SET!T39="iScout","📱",IF(SET!T39="XSA Neo","💻","📞")))</f>
        <v/>
      </c>
      <c r="F41" s="12" t="str">
        <f>IF(SET!P39="","",IFERROR(VLOOKUP(SET!U39,SET!$E$118:$G$161,2,FALSE),"⚽"))</f>
        <v/>
      </c>
      <c r="G41" s="13" t="str">
        <f>IF(SET!P39="","",IFERROR(VLOOKUP(SET!V39,SET!$B$56:$C$270,2,FALSE),"🌍"))</f>
        <v/>
      </c>
      <c r="H41" s="8" t="str">
        <f>IF(SET!P39="","",SET!W39)</f>
        <v/>
      </c>
      <c r="I41" s="14" t="str">
        <f>IF(SET!P39="","",SET!X39)</f>
        <v/>
      </c>
      <c r="J41" s="14" t="str">
        <f>IF(SET!P39="","",SET!Y39)</f>
        <v/>
      </c>
      <c r="K41" s="8" t="str">
        <f>IF(SET!P39="","",SUBSTITUTE(SET!AA39,"(Stream)",""))</f>
        <v/>
      </c>
      <c r="L41" s="15" t="str">
        <f>IF(SET!P39="","",SUBSTITUTE(SET!AC39,"(Stream)",""))</f>
        <v/>
      </c>
      <c r="M41" s="16" t="str">
        <f>IF(SET!P39="","",SET!T39)</f>
        <v/>
      </c>
      <c r="N41" s="17" t="str">
        <f>IF(SET!P39="","",SET!S39)</f>
        <v/>
      </c>
      <c r="O41" s="17" t="str">
        <f>IF(SET!P39="","",SET!U39)</f>
        <v/>
      </c>
      <c r="P41" s="18"/>
    </row>
    <row r="42" ht="37.5" customHeight="1">
      <c r="A42" s="7" t="str">
        <f>IF(SET!P40="","",SET!L40)</f>
        <v/>
      </c>
      <c r="B42" s="8" t="str">
        <f>IF(SET!P40="","",TEXT(DATE(SET!O40,SET!N40,SET!M40),"DD/MM/YYYY"))</f>
        <v/>
      </c>
      <c r="C42" s="9" t="str">
        <f>IF(SET!P40="","",SET!P40)</f>
        <v/>
      </c>
      <c r="D42" s="10" t="str">
        <f>IF(SET!P40="","",TEXT(TIME(SET!Q40,SET!R40,0),"HH:MM"))</f>
        <v/>
      </c>
      <c r="E42" s="11" t="str">
        <f>IF(SET!P40="","",IF(SET!T40="iScout","📱",IF(SET!T40="XSA Neo","💻","📞")))</f>
        <v/>
      </c>
      <c r="F42" s="12" t="str">
        <f>IF(SET!P40="","",IFERROR(VLOOKUP(SET!U40,SET!$E$118:$G$161,2,FALSE),"⚽"))</f>
        <v/>
      </c>
      <c r="G42" s="13" t="str">
        <f>IF(SET!P40="","",IFERROR(VLOOKUP(SET!V40,SET!$B$56:$C$270,2,FALSE),"🌍"))</f>
        <v/>
      </c>
      <c r="H42" s="8" t="str">
        <f>IF(SET!P40="","",SET!W40)</f>
        <v/>
      </c>
      <c r="I42" s="14" t="str">
        <f>IF(SET!P40="","",SET!X40)</f>
        <v/>
      </c>
      <c r="J42" s="14" t="str">
        <f>IF(SET!P40="","",SET!Y40)</f>
        <v/>
      </c>
      <c r="K42" s="8" t="str">
        <f>IF(SET!P40="","",SUBSTITUTE(SET!AA40,"(Stream)",""))</f>
        <v/>
      </c>
      <c r="L42" s="15" t="str">
        <f>IF(SET!P40="","",SUBSTITUTE(SET!AC40,"(Stream)",""))</f>
        <v/>
      </c>
      <c r="M42" s="16" t="str">
        <f>IF(SET!P40="","",SET!T40)</f>
        <v/>
      </c>
      <c r="N42" s="17" t="str">
        <f>IF(SET!P40="","",SET!S40)</f>
        <v/>
      </c>
      <c r="O42" s="17" t="str">
        <f>IF(SET!P40="","",SET!U40)</f>
        <v/>
      </c>
      <c r="P42" s="18"/>
    </row>
    <row r="43" ht="37.5" customHeight="1">
      <c r="A43" s="7" t="str">
        <f>IF(SET!P41="","",SET!L41)</f>
        <v/>
      </c>
      <c r="B43" s="8" t="str">
        <f>IF(SET!P41="","",TEXT(DATE(SET!O41,SET!N41,SET!M41),"DD/MM/YYYY"))</f>
        <v/>
      </c>
      <c r="C43" s="9" t="str">
        <f>IF(SET!P41="","",SET!P41)</f>
        <v/>
      </c>
      <c r="D43" s="10" t="str">
        <f>IF(SET!P41="","",TEXT(TIME(SET!Q41,SET!R41,0),"HH:MM"))</f>
        <v/>
      </c>
      <c r="E43" s="11" t="str">
        <f>IF(SET!P41="","",IF(SET!T41="iScout","📱",IF(SET!T41="XSA Neo","💻","📞")))</f>
        <v/>
      </c>
      <c r="F43" s="12" t="str">
        <f>IF(SET!P41="","",IFERROR(VLOOKUP(SET!U41,SET!$E$118:$G$161,2,FALSE),"⚽"))</f>
        <v/>
      </c>
      <c r="G43" s="13" t="str">
        <f>IF(SET!P41="","",IFERROR(VLOOKUP(SET!V41,SET!$B$56:$C$270,2,FALSE),"🌍"))</f>
        <v/>
      </c>
      <c r="H43" s="8" t="str">
        <f>IF(SET!P41="","",SET!W41)</f>
        <v/>
      </c>
      <c r="I43" s="14" t="str">
        <f>IF(SET!P41="","",SET!X41)</f>
        <v/>
      </c>
      <c r="J43" s="14" t="str">
        <f>IF(SET!P41="","",SET!Y41)</f>
        <v/>
      </c>
      <c r="K43" s="8" t="str">
        <f>IF(SET!P41="","",SUBSTITUTE(SET!AA41,"(Stream)",""))</f>
        <v/>
      </c>
      <c r="L43" s="15" t="str">
        <f>IF(SET!P41="","",SUBSTITUTE(SET!AC41,"(Stream)",""))</f>
        <v/>
      </c>
      <c r="M43" s="16" t="str">
        <f>IF(SET!P41="","",SET!T41)</f>
        <v/>
      </c>
      <c r="N43" s="17" t="str">
        <f>IF(SET!P41="","",SET!S41)</f>
        <v/>
      </c>
      <c r="O43" s="17" t="str">
        <f>IF(SET!P41="","",SET!U41)</f>
        <v/>
      </c>
      <c r="P43" s="18"/>
    </row>
    <row r="44" ht="37.5" customHeight="1">
      <c r="A44" s="7" t="str">
        <f>IF(SET!P42="","",SET!L42)</f>
        <v/>
      </c>
      <c r="B44" s="8" t="str">
        <f>IF(SET!P42="","",TEXT(DATE(SET!O42,SET!N42,SET!M42),"DD/MM/YYYY"))</f>
        <v/>
      </c>
      <c r="C44" s="9" t="str">
        <f>IF(SET!P42="","",SET!P42)</f>
        <v/>
      </c>
      <c r="D44" s="10" t="str">
        <f>IF(SET!P42="","",TEXT(TIME(SET!Q42,SET!R42,0),"HH:MM"))</f>
        <v/>
      </c>
      <c r="E44" s="11" t="str">
        <f>IF(SET!P42="","",IF(SET!T42="iScout","📱",IF(SET!T42="XSA Neo","💻","📞")))</f>
        <v/>
      </c>
      <c r="F44" s="12" t="str">
        <f>IF(SET!P42="","",IFERROR(VLOOKUP(SET!U42,SET!$E$118:$G$161,2,FALSE),"⚽"))</f>
        <v/>
      </c>
      <c r="G44" s="13" t="str">
        <f>IF(SET!P42="","",IFERROR(VLOOKUP(SET!V42,SET!$B$56:$C$270,2,FALSE),"🌍"))</f>
        <v/>
      </c>
      <c r="H44" s="8" t="str">
        <f>IF(SET!P42="","",SET!W42)</f>
        <v/>
      </c>
      <c r="I44" s="14" t="str">
        <f>IF(SET!P42="","",SET!X42)</f>
        <v/>
      </c>
      <c r="J44" s="14" t="str">
        <f>IF(SET!P42="","",SET!Y42)</f>
        <v/>
      </c>
      <c r="K44" s="8" t="str">
        <f>IF(SET!P42="","",SUBSTITUTE(SET!AA42,"(Stream)",""))</f>
        <v/>
      </c>
      <c r="L44" s="15" t="str">
        <f>IF(SET!P42="","",SUBSTITUTE(SET!AC42,"(Stream)",""))</f>
        <v/>
      </c>
      <c r="M44" s="16" t="str">
        <f>IF(SET!P42="","",SET!T42)</f>
        <v/>
      </c>
      <c r="N44" s="17" t="str">
        <f>IF(SET!P42="","",SET!S42)</f>
        <v/>
      </c>
      <c r="O44" s="17" t="str">
        <f>IF(SET!P42="","",SET!U42)</f>
        <v/>
      </c>
      <c r="P44" s="18"/>
    </row>
    <row r="45" ht="37.5" customHeight="1">
      <c r="A45" s="7" t="str">
        <f>IF(SET!P43="","",SET!L43)</f>
        <v/>
      </c>
      <c r="B45" s="8" t="str">
        <f>IF(SET!P43="","",TEXT(DATE(SET!O43,SET!N43,SET!M43),"DD/MM/YYYY"))</f>
        <v/>
      </c>
      <c r="C45" s="9" t="str">
        <f>IF(SET!P43="","",SET!P43)</f>
        <v/>
      </c>
      <c r="D45" s="10" t="str">
        <f>IF(SET!P43="","",TEXT(TIME(SET!Q43,SET!R43,0),"HH:MM"))</f>
        <v/>
      </c>
      <c r="E45" s="11" t="str">
        <f>IF(SET!P43="","",IF(SET!T43="iScout","📱",IF(SET!T43="XSA Neo","💻","📞")))</f>
        <v/>
      </c>
      <c r="F45" s="12" t="str">
        <f>IF(SET!P43="","",IFERROR(VLOOKUP(SET!U43,SET!$E$118:$G$161,2,FALSE),"⚽"))</f>
        <v/>
      </c>
      <c r="G45" s="13" t="str">
        <f>IF(SET!P43="","",IFERROR(VLOOKUP(SET!V43,SET!$B$56:$C$270,2,FALSE),"🌍"))</f>
        <v/>
      </c>
      <c r="H45" s="8" t="str">
        <f>IF(SET!P43="","",SET!W43)</f>
        <v/>
      </c>
      <c r="I45" s="14" t="str">
        <f>IF(SET!P43="","",SET!X43)</f>
        <v/>
      </c>
      <c r="J45" s="14" t="str">
        <f>IF(SET!P43="","",SET!Y43)</f>
        <v/>
      </c>
      <c r="K45" s="8" t="str">
        <f>IF(SET!P43="","",SUBSTITUTE(SET!AA43,"(Stream)",""))</f>
        <v/>
      </c>
      <c r="L45" s="15" t="str">
        <f>IF(SET!P43="","",SUBSTITUTE(SET!AC43,"(Stream)",""))</f>
        <v/>
      </c>
      <c r="M45" s="16" t="str">
        <f>IF(SET!P43="","",SET!T43)</f>
        <v/>
      </c>
      <c r="N45" s="17" t="str">
        <f>IF(SET!P43="","",SET!S43)</f>
        <v/>
      </c>
      <c r="O45" s="17" t="str">
        <f>IF(SET!P43="","",SET!U43)</f>
        <v/>
      </c>
      <c r="P45" s="18"/>
    </row>
    <row r="46" ht="37.5" customHeight="1">
      <c r="A46" s="7" t="str">
        <f>IF(SET!P44="","",SET!L44)</f>
        <v/>
      </c>
      <c r="B46" s="8" t="str">
        <f>IF(SET!P44="","",TEXT(DATE(SET!O44,SET!N44,SET!M44),"DD/MM/YYYY"))</f>
        <v/>
      </c>
      <c r="C46" s="9" t="str">
        <f>IF(SET!P44="","",SET!P44)</f>
        <v/>
      </c>
      <c r="D46" s="10" t="str">
        <f>IF(SET!P44="","",TEXT(TIME(SET!Q44,SET!R44,0),"HH:MM"))</f>
        <v/>
      </c>
      <c r="E46" s="11" t="str">
        <f>IF(SET!P44="","",IF(SET!T44="iScout","📱",IF(SET!T44="XSA Neo","💻","📞")))</f>
        <v/>
      </c>
      <c r="F46" s="12" t="str">
        <f>IF(SET!P44="","",IFERROR(VLOOKUP(SET!U44,SET!$E$118:$G$161,2,FALSE),"⚽"))</f>
        <v/>
      </c>
      <c r="G46" s="13" t="str">
        <f>IF(SET!P44="","",IFERROR(VLOOKUP(SET!V44,SET!$B$56:$C$270,2,FALSE),"🌍"))</f>
        <v/>
      </c>
      <c r="H46" s="8" t="str">
        <f>IF(SET!P44="","",SET!W44)</f>
        <v/>
      </c>
      <c r="I46" s="14" t="str">
        <f>IF(SET!P44="","",SET!X44)</f>
        <v/>
      </c>
      <c r="J46" s="14" t="str">
        <f>IF(SET!P44="","",SET!Y44)</f>
        <v/>
      </c>
      <c r="K46" s="8" t="str">
        <f>IF(SET!P44="","",SUBSTITUTE(SET!AA44,"(Stream)",""))</f>
        <v/>
      </c>
      <c r="L46" s="15" t="str">
        <f>IF(SET!P44="","",SUBSTITUTE(SET!AC44,"(Stream)",""))</f>
        <v/>
      </c>
      <c r="M46" s="16" t="str">
        <f>IF(SET!P44="","",SET!T44)</f>
        <v/>
      </c>
      <c r="N46" s="17" t="str">
        <f>IF(SET!P44="","",SET!S44)</f>
        <v/>
      </c>
      <c r="O46" s="17" t="str">
        <f>IF(SET!P44="","",SET!U44)</f>
        <v/>
      </c>
      <c r="P46" s="18"/>
    </row>
    <row r="47" ht="37.5" customHeight="1">
      <c r="A47" s="7" t="str">
        <f>IF(SET!P45="","",SET!L45)</f>
        <v/>
      </c>
      <c r="B47" s="8" t="str">
        <f>IF(SET!P45="","",TEXT(DATE(SET!O45,SET!N45,SET!M45),"DD/MM/YYYY"))</f>
        <v/>
      </c>
      <c r="C47" s="9" t="str">
        <f>IF(SET!P45="","",SET!P45)</f>
        <v/>
      </c>
      <c r="D47" s="10" t="str">
        <f>IF(SET!P45="","",TEXT(TIME(SET!Q45,SET!R45,0),"HH:MM"))</f>
        <v/>
      </c>
      <c r="E47" s="11" t="str">
        <f>IF(SET!P45="","",IF(SET!T45="iScout","📱",IF(SET!T45="XSA Neo","💻","📞")))</f>
        <v/>
      </c>
      <c r="F47" s="12" t="str">
        <f>IF(SET!P45="","",IFERROR(VLOOKUP(SET!U45,SET!$E$118:$G$161,2,FALSE),"⚽"))</f>
        <v/>
      </c>
      <c r="G47" s="13" t="str">
        <f>IF(SET!P45="","",IFERROR(VLOOKUP(SET!V45,SET!$B$56:$C$270,2,FALSE),"🌍"))</f>
        <v/>
      </c>
      <c r="H47" s="8" t="str">
        <f>IF(SET!P45="","",SET!W45)</f>
        <v/>
      </c>
      <c r="I47" s="14" t="str">
        <f>IF(SET!P45="","",SET!X45)</f>
        <v/>
      </c>
      <c r="J47" s="14" t="str">
        <f>IF(SET!P45="","",SET!Y45)</f>
        <v/>
      </c>
      <c r="K47" s="8" t="str">
        <f>IF(SET!P45="","",SUBSTITUTE(SET!AA45,"(Stream)",""))</f>
        <v/>
      </c>
      <c r="L47" s="15" t="str">
        <f>IF(SET!P45="","",SUBSTITUTE(SET!AC45,"(Stream)",""))</f>
        <v/>
      </c>
      <c r="M47" s="16" t="str">
        <f>IF(SET!P45="","",SET!T45)</f>
        <v/>
      </c>
      <c r="N47" s="17" t="str">
        <f>IF(SET!P45="","",SET!S45)</f>
        <v/>
      </c>
      <c r="O47" s="17" t="str">
        <f>IF(SET!P45="","",SET!U45)</f>
        <v/>
      </c>
      <c r="P47" s="18"/>
    </row>
    <row r="48" ht="37.5" customHeight="1">
      <c r="A48" s="7" t="str">
        <f>IF(SET!P46="","",SET!L46)</f>
        <v/>
      </c>
      <c r="B48" s="8" t="str">
        <f>IF(SET!P46="","",TEXT(DATE(SET!O46,SET!N46,SET!M46),"DD/MM/YYYY"))</f>
        <v/>
      </c>
      <c r="C48" s="9" t="str">
        <f>IF(SET!P46="","",SET!P46)</f>
        <v/>
      </c>
      <c r="D48" s="10" t="str">
        <f>IF(SET!P46="","",TEXT(TIME(SET!Q46,SET!R46,0),"HH:MM"))</f>
        <v/>
      </c>
      <c r="E48" s="11" t="str">
        <f>IF(SET!P46="","",IF(SET!T46="iScout","📱",IF(SET!T46="XSA Neo","💻","📞")))</f>
        <v/>
      </c>
      <c r="F48" s="12" t="str">
        <f>IF(SET!P46="","",IFERROR(VLOOKUP(SET!U46,SET!$E$118:$G$161,2,FALSE),"⚽"))</f>
        <v/>
      </c>
      <c r="G48" s="13" t="str">
        <f>IF(SET!P46="","",IFERROR(VLOOKUP(SET!V46,SET!$B$56:$C$270,2,FALSE),"🌍"))</f>
        <v/>
      </c>
      <c r="H48" s="8" t="str">
        <f>IF(SET!P46="","",SET!W46)</f>
        <v/>
      </c>
      <c r="I48" s="14" t="str">
        <f>IF(SET!P46="","",SET!X46)</f>
        <v/>
      </c>
      <c r="J48" s="14" t="str">
        <f>IF(SET!P46="","",SET!Y46)</f>
        <v/>
      </c>
      <c r="K48" s="8" t="str">
        <f>IF(SET!P46="","",SUBSTITUTE(SET!AA46,"(Stream)",""))</f>
        <v/>
      </c>
      <c r="L48" s="15" t="str">
        <f>IF(SET!P46="","",SUBSTITUTE(SET!AC46,"(Stream)",""))</f>
        <v/>
      </c>
      <c r="M48" s="16" t="str">
        <f>IF(SET!P46="","",SET!T46)</f>
        <v/>
      </c>
      <c r="N48" s="17" t="str">
        <f>IF(SET!P46="","",SET!S46)</f>
        <v/>
      </c>
      <c r="O48" s="17" t="str">
        <f>IF(SET!P46="","",SET!U46)</f>
        <v/>
      </c>
      <c r="P48" s="18"/>
    </row>
    <row r="49" ht="37.5" customHeight="1">
      <c r="A49" s="7" t="str">
        <f>IF(SET!P47="","",SET!L47)</f>
        <v/>
      </c>
      <c r="B49" s="8" t="str">
        <f>IF(SET!P47="","",TEXT(DATE(SET!O47,SET!N47,SET!M47),"DD/MM/YYYY"))</f>
        <v/>
      </c>
      <c r="C49" s="9" t="str">
        <f>IF(SET!P47="","",SET!P47)</f>
        <v/>
      </c>
      <c r="D49" s="10" t="str">
        <f>IF(SET!P47="","",TEXT(TIME(SET!Q47,SET!R47,0),"HH:MM"))</f>
        <v/>
      </c>
      <c r="E49" s="11" t="str">
        <f>IF(SET!P47="","",IF(SET!T47="iScout","📱",IF(SET!T47="XSA Neo","💻","📞")))</f>
        <v/>
      </c>
      <c r="F49" s="12" t="str">
        <f>IF(SET!P47="","",IFERROR(VLOOKUP(SET!U47,SET!$E$118:$G$161,2,FALSE),"⚽"))</f>
        <v/>
      </c>
      <c r="G49" s="13" t="str">
        <f>IF(SET!P47="","",IFERROR(VLOOKUP(SET!V47,SET!$B$56:$C$270,2,FALSE),"🌍"))</f>
        <v/>
      </c>
      <c r="H49" s="8" t="str">
        <f>IF(SET!P47="","",SET!W47)</f>
        <v/>
      </c>
      <c r="I49" s="14" t="str">
        <f>IF(SET!P47="","",SET!X47)</f>
        <v/>
      </c>
      <c r="J49" s="14" t="str">
        <f>IF(SET!P47="","",SET!Y47)</f>
        <v/>
      </c>
      <c r="K49" s="8" t="str">
        <f>IF(SET!P47="","",SUBSTITUTE(SET!AA47,"(Stream)",""))</f>
        <v/>
      </c>
      <c r="L49" s="15" t="str">
        <f>IF(SET!P47="","",SUBSTITUTE(SET!AC47,"(Stream)",""))</f>
        <v/>
      </c>
      <c r="M49" s="16" t="str">
        <f>IF(SET!P47="","",SET!T47)</f>
        <v/>
      </c>
      <c r="N49" s="17" t="str">
        <f>IF(SET!P47="","",SET!S47)</f>
        <v/>
      </c>
      <c r="O49" s="17" t="str">
        <f>IF(SET!P47="","",SET!U47)</f>
        <v/>
      </c>
      <c r="P49" s="18"/>
    </row>
    <row r="50" ht="37.5" customHeight="1">
      <c r="A50" s="7" t="str">
        <f>IF(SET!P48="","",SET!L48)</f>
        <v/>
      </c>
      <c r="B50" s="8" t="str">
        <f>IF(SET!P48="","",TEXT(DATE(SET!O48,SET!N48,SET!M48),"DD/MM/YYYY"))</f>
        <v/>
      </c>
      <c r="C50" s="9" t="str">
        <f>IF(SET!P48="","",SET!P48)</f>
        <v/>
      </c>
      <c r="D50" s="10" t="str">
        <f>IF(SET!P48="","",TEXT(TIME(SET!Q48,SET!R48,0),"HH:MM"))</f>
        <v/>
      </c>
      <c r="E50" s="11" t="str">
        <f>IF(SET!P48="","",IF(SET!T48="iScout","📱",IF(SET!T48="XSA Neo","💻","📞")))</f>
        <v/>
      </c>
      <c r="F50" s="12" t="str">
        <f>IF(SET!P48="","",IFERROR(VLOOKUP(SET!U48,SET!$E$118:$G$161,2,FALSE),"⚽"))</f>
        <v/>
      </c>
      <c r="G50" s="13" t="str">
        <f>IF(SET!P48="","",IFERROR(VLOOKUP(SET!V48,SET!$B$56:$C$270,2,FALSE),"🌍"))</f>
        <v/>
      </c>
      <c r="H50" s="8" t="str">
        <f>IF(SET!P48="","",SET!W48)</f>
        <v/>
      </c>
      <c r="I50" s="14" t="str">
        <f>IF(SET!P48="","",SET!X48)</f>
        <v/>
      </c>
      <c r="J50" s="14" t="str">
        <f>IF(SET!P48="","",SET!Y48)</f>
        <v/>
      </c>
      <c r="K50" s="8" t="str">
        <f>IF(SET!P48="","",SUBSTITUTE(SET!AA48,"(Stream)",""))</f>
        <v/>
      </c>
      <c r="L50" s="15" t="str">
        <f>IF(SET!P48="","",SUBSTITUTE(SET!AC48,"(Stream)",""))</f>
        <v/>
      </c>
      <c r="M50" s="16" t="str">
        <f>IF(SET!P48="","",SET!T48)</f>
        <v/>
      </c>
      <c r="N50" s="17" t="str">
        <f>IF(SET!P48="","",SET!S48)</f>
        <v/>
      </c>
      <c r="O50" s="17" t="str">
        <f>IF(SET!P48="","",SET!U48)</f>
        <v/>
      </c>
      <c r="P50" s="18"/>
    </row>
    <row r="51" ht="15.75" customHeight="1">
      <c r="A51" s="7" t="str">
        <f>IF(SET!P49="","",SET!L49)</f>
        <v/>
      </c>
      <c r="B51" s="8" t="str">
        <f>IF(SET!P49="","",TEXT(DATE(SET!O49,SET!N49,SET!M49),"DD/MM/YYYY"))</f>
        <v/>
      </c>
      <c r="C51" s="9" t="str">
        <f>IF(SET!P49="","",SET!P49)</f>
        <v/>
      </c>
      <c r="D51" s="10" t="str">
        <f>IF(SET!P49="","",TEXT(TIME(SET!Q49,SET!R49,0),"HH:MM"))</f>
        <v/>
      </c>
      <c r="E51" s="11" t="str">
        <f>IF(SET!P49="","",IF(SET!T49="iScout","📱",IF(SET!T49="XSA Neo","💻","📞")))</f>
        <v/>
      </c>
      <c r="F51" s="12" t="str">
        <f>IF(SET!P49="","",IFERROR(VLOOKUP(SET!U49,SET!$E$118:$G$161,2,FALSE),"⚽"))</f>
        <v/>
      </c>
      <c r="G51" s="13" t="str">
        <f>IF(SET!P49="","",IFERROR(VLOOKUP(SET!V49,SET!$B$56:$C$270,2,FALSE),"🌍"))</f>
        <v/>
      </c>
      <c r="H51" s="8" t="str">
        <f>IF(SET!P49="","",SET!W49)</f>
        <v/>
      </c>
      <c r="I51" s="14" t="str">
        <f>IF(SET!P49="","",SET!X49)</f>
        <v/>
      </c>
      <c r="J51" s="14" t="str">
        <f>IF(SET!P49="","",SET!Y49)</f>
        <v/>
      </c>
      <c r="K51" s="8" t="str">
        <f>IF(SET!P49="","",SUBSTITUTE(SET!AA49,"(Stream)",""))</f>
        <v/>
      </c>
      <c r="L51" s="15" t="str">
        <f>IF(SET!P49="","",SUBSTITUTE(SET!AC49,"(Stream)",""))</f>
        <v/>
      </c>
      <c r="M51" s="16" t="str">
        <f>IF(SET!P49="","",SET!T49)</f>
        <v/>
      </c>
      <c r="N51" s="17" t="str">
        <f>IF(SET!P49="","",SET!S49)</f>
        <v/>
      </c>
      <c r="O51" s="17" t="str">
        <f>IF(SET!P49="","",SET!U49)</f>
        <v/>
      </c>
      <c r="P51" s="19"/>
    </row>
    <row r="52" ht="15.75" customHeight="1">
      <c r="A52" s="7" t="str">
        <f>IF(SET!P50="","",SET!L50)</f>
        <v/>
      </c>
      <c r="B52" s="8" t="str">
        <f>IF(SET!P50="","",TEXT(DATE(SET!O50,SET!N50,SET!M50),"DD/MM/YYYY"))</f>
        <v/>
      </c>
      <c r="C52" s="9" t="str">
        <f>IF(SET!P50="","",SET!P50)</f>
        <v/>
      </c>
      <c r="D52" s="10" t="str">
        <f>IF(SET!P50="","",TEXT(TIME(SET!Q50,SET!R50,0),"HH:MM"))</f>
        <v/>
      </c>
      <c r="E52" s="11" t="str">
        <f>IF(SET!P50="","",IF(SET!T50="iScout","📱",IF(SET!T50="XSA Neo","💻","📞")))</f>
        <v/>
      </c>
      <c r="F52" s="12" t="str">
        <f>IF(SET!P50="","",IFERROR(VLOOKUP(SET!U50,SET!$E$118:$G$161,2,FALSE),"⚽"))</f>
        <v/>
      </c>
      <c r="G52" s="13" t="str">
        <f>IF(SET!P50="","",IFERROR(VLOOKUP(SET!V50,SET!$B$56:$C$270,2,FALSE),"🌍"))</f>
        <v/>
      </c>
      <c r="H52" s="8" t="str">
        <f>IF(SET!P50="","",SET!W50)</f>
        <v/>
      </c>
      <c r="I52" s="14" t="str">
        <f>IF(SET!P50="","",SET!X50)</f>
        <v/>
      </c>
      <c r="J52" s="14" t="str">
        <f>IF(SET!P50="","",SET!Y50)</f>
        <v/>
      </c>
      <c r="K52" s="8" t="str">
        <f>IF(SET!P50="","",SUBSTITUTE(SET!AA50,"(Stream)",""))</f>
        <v/>
      </c>
      <c r="L52" s="15" t="str">
        <f>IF(SET!P50="","",SUBSTITUTE(SET!AC50,"(Stream)",""))</f>
        <v/>
      </c>
      <c r="M52" s="16" t="str">
        <f>IF(SET!P50="","",SET!T50)</f>
        <v/>
      </c>
      <c r="N52" s="17" t="str">
        <f>IF(SET!P50="","",SET!S50)</f>
        <v/>
      </c>
      <c r="O52" s="17" t="str">
        <f>IF(SET!P50="","",SET!U50)</f>
        <v/>
      </c>
      <c r="P52" s="19"/>
    </row>
    <row r="53" ht="15.75" customHeight="1">
      <c r="A53" s="7" t="str">
        <f>IF(SET!P51="","",SET!L51)</f>
        <v/>
      </c>
      <c r="B53" s="8" t="str">
        <f>IF(SET!P51="","",TEXT(DATE(SET!O51,SET!N51,SET!M51),"DD/MM/YYYY"))</f>
        <v/>
      </c>
      <c r="C53" s="9" t="str">
        <f>IF(SET!P51="","",SET!P51)</f>
        <v/>
      </c>
      <c r="D53" s="10" t="str">
        <f>IF(SET!P51="","",TEXT(TIME(SET!Q51,SET!R51,0),"HH:MM"))</f>
        <v/>
      </c>
      <c r="E53" s="11" t="str">
        <f>IF(SET!P51="","",IF(SET!T51="iScout","📱",IF(SET!T51="XSA Neo","💻","📞")))</f>
        <v/>
      </c>
      <c r="F53" s="12" t="str">
        <f>IF(SET!P51="","",IFERROR(VLOOKUP(SET!U51,SET!$E$118:$G$161,2,FALSE),"⚽"))</f>
        <v/>
      </c>
      <c r="G53" s="13" t="str">
        <f>IF(SET!P51="","",IFERROR(VLOOKUP(SET!V51,SET!$B$56:$C$270,2,FALSE),"🌍"))</f>
        <v/>
      </c>
      <c r="H53" s="8" t="str">
        <f>IF(SET!P51="","",SET!W51)</f>
        <v/>
      </c>
      <c r="I53" s="14" t="str">
        <f>IF(SET!P51="","",SET!X51)</f>
        <v/>
      </c>
      <c r="J53" s="14" t="str">
        <f>IF(SET!P51="","",SET!Y51)</f>
        <v/>
      </c>
      <c r="K53" s="8" t="str">
        <f>IF(SET!P51="","",SUBSTITUTE(SET!AA51,"(Stream)",""))</f>
        <v/>
      </c>
      <c r="L53" s="15" t="str">
        <f>IF(SET!P51="","",SUBSTITUTE(SET!AC51,"(Stream)",""))</f>
        <v/>
      </c>
      <c r="M53" s="16" t="str">
        <f>IF(SET!P51="","",SET!T51)</f>
        <v/>
      </c>
      <c r="N53" s="17" t="str">
        <f>IF(SET!P51="","",SET!S51)</f>
        <v/>
      </c>
      <c r="O53" s="17" t="str">
        <f>IF(SET!P51="","",SET!U51)</f>
        <v/>
      </c>
      <c r="P53" s="19"/>
    </row>
    <row r="54" ht="15.75" customHeight="1">
      <c r="A54" s="7" t="str">
        <f>IF(SET!P52="","",SET!L52)</f>
        <v/>
      </c>
      <c r="B54" s="8" t="str">
        <f>IF(SET!P52="","",TEXT(DATE(SET!O52,SET!N52,SET!M52),"DD/MM/YYYY"))</f>
        <v/>
      </c>
      <c r="C54" s="9" t="str">
        <f>IF(SET!P52="","",SET!P52)</f>
        <v/>
      </c>
      <c r="D54" s="10" t="str">
        <f>IF(SET!P52="","",TEXT(TIME(SET!Q52,SET!R52,0),"HH:MM"))</f>
        <v/>
      </c>
      <c r="E54" s="11" t="str">
        <f>IF(SET!P52="","",IF(SET!T52="iScout","📱",IF(SET!T52="XSA Neo","💻","📞")))</f>
        <v/>
      </c>
      <c r="F54" s="12" t="str">
        <f>IF(SET!P52="","",IFERROR(VLOOKUP(SET!U52,SET!$E$118:$G$161,2,FALSE),"⚽"))</f>
        <v/>
      </c>
      <c r="G54" s="13" t="str">
        <f>IF(SET!P52="","",IFERROR(VLOOKUP(SET!V52,SET!$B$56:$C$270,2,FALSE),"🌍"))</f>
        <v/>
      </c>
      <c r="H54" s="8" t="str">
        <f>IF(SET!P52="","",SET!W52)</f>
        <v/>
      </c>
      <c r="I54" s="14" t="str">
        <f>IF(SET!P52="","",SET!X52)</f>
        <v/>
      </c>
      <c r="J54" s="14" t="str">
        <f>IF(SET!P52="","",SET!Y52)</f>
        <v/>
      </c>
      <c r="K54" s="8" t="str">
        <f>IF(SET!P52="","",SUBSTITUTE(SET!AA52,"(Stream)",""))</f>
        <v/>
      </c>
      <c r="L54" s="15" t="str">
        <f>IF(SET!P52="","",SUBSTITUTE(SET!AC52,"(Stream)",""))</f>
        <v/>
      </c>
      <c r="M54" s="16" t="str">
        <f>IF(SET!P52="","",SET!T52)</f>
        <v/>
      </c>
      <c r="N54" s="17" t="str">
        <f>IF(SET!P52="","",SET!S52)</f>
        <v/>
      </c>
      <c r="O54" s="17" t="str">
        <f>IF(SET!P52="","",SET!U52)</f>
        <v/>
      </c>
      <c r="P54" s="19"/>
    </row>
    <row r="55" ht="15.75" customHeight="1">
      <c r="A55" s="7" t="str">
        <f>IF(SET!P53="","",SET!L53)</f>
        <v/>
      </c>
      <c r="B55" s="8" t="str">
        <f>IF(SET!P53="","",TEXT(DATE(SET!O53,SET!N53,SET!M53),"DD/MM/YYYY"))</f>
        <v/>
      </c>
      <c r="C55" s="9" t="str">
        <f>IF(SET!P53="","",SET!P53)</f>
        <v/>
      </c>
      <c r="D55" s="10" t="str">
        <f>IF(SET!P53="","",TEXT(TIME(SET!Q53,SET!R53,0),"HH:MM"))</f>
        <v/>
      </c>
      <c r="E55" s="11" t="str">
        <f>IF(SET!P53="","",IF(SET!T53="iScout","📱",IF(SET!T53="XSA Neo","💻","📞")))</f>
        <v/>
      </c>
      <c r="F55" s="12" t="str">
        <f>IF(SET!P53="","",IFERROR(VLOOKUP(SET!U53,SET!$E$118:$G$161,2,FALSE),"⚽"))</f>
        <v/>
      </c>
      <c r="G55" s="13" t="str">
        <f>IF(SET!P53="","",IFERROR(VLOOKUP(SET!V53,SET!$B$56:$C$270,2,FALSE),"🌍"))</f>
        <v/>
      </c>
      <c r="H55" s="8" t="str">
        <f>IF(SET!P53="","",SET!W53)</f>
        <v/>
      </c>
      <c r="I55" s="14" t="str">
        <f>IF(SET!P53="","",SET!X53)</f>
        <v/>
      </c>
      <c r="J55" s="14" t="str">
        <f>IF(SET!P53="","",SET!Y53)</f>
        <v/>
      </c>
      <c r="K55" s="8" t="str">
        <f>IF(SET!P53="","",SUBSTITUTE(SET!AA53,"(Stream)",""))</f>
        <v/>
      </c>
      <c r="L55" s="15" t="str">
        <f>IF(SET!P53="","",SUBSTITUTE(SET!AC53,"(Stream)",""))</f>
        <v/>
      </c>
      <c r="M55" s="16" t="str">
        <f>IF(SET!P53="","",SET!T53)</f>
        <v/>
      </c>
      <c r="N55" s="17" t="str">
        <f>IF(SET!P53="","",SET!S53)</f>
        <v/>
      </c>
      <c r="O55" s="17" t="str">
        <f>IF(SET!P53="","",SET!U53)</f>
        <v/>
      </c>
      <c r="P55" s="19"/>
    </row>
    <row r="56" ht="15.75" customHeight="1">
      <c r="A56" s="7" t="str">
        <f>IF(SET!P54="","",SET!L54)</f>
        <v/>
      </c>
      <c r="B56" s="8" t="str">
        <f>IF(SET!P54="","",TEXT(DATE(SET!O54,SET!N54,SET!M54),"DD/MM/YYYY"))</f>
        <v/>
      </c>
      <c r="C56" s="9" t="str">
        <f>IF(SET!P54="","",SET!P54)</f>
        <v/>
      </c>
      <c r="D56" s="10" t="str">
        <f>IF(SET!P54="","",TEXT(TIME(SET!Q54,SET!R54,0),"HH:MM"))</f>
        <v/>
      </c>
      <c r="E56" s="11" t="str">
        <f>IF(SET!P54="","",IF(SET!T54="iScout","📱",IF(SET!T54="XSA Neo","💻","📞")))</f>
        <v/>
      </c>
      <c r="F56" s="12" t="str">
        <f>IF(SET!P54="","",IFERROR(VLOOKUP(SET!U54,SET!$E$118:$G$161,2,FALSE),"⚽"))</f>
        <v/>
      </c>
      <c r="G56" s="13" t="str">
        <f>IF(SET!P54="","",IFERROR(VLOOKUP(SET!V54,SET!$B$56:$C$270,2,FALSE),"🌍"))</f>
        <v/>
      </c>
      <c r="H56" s="8" t="str">
        <f>IF(SET!P54="","",SET!W54)</f>
        <v/>
      </c>
      <c r="I56" s="14" t="str">
        <f>IF(SET!P54="","",SET!X54)</f>
        <v/>
      </c>
      <c r="J56" s="14" t="str">
        <f>IF(SET!P54="","",SET!Y54)</f>
        <v/>
      </c>
      <c r="K56" s="8" t="str">
        <f>IF(SET!P54="","",SUBSTITUTE(SET!AA54,"(Stream)",""))</f>
        <v/>
      </c>
      <c r="L56" s="15" t="str">
        <f>IF(SET!P54="","",SUBSTITUTE(SET!AC54,"(Stream)",""))</f>
        <v/>
      </c>
      <c r="M56" s="16" t="str">
        <f>IF(SET!P54="","",SET!T54)</f>
        <v/>
      </c>
      <c r="N56" s="17" t="str">
        <f>IF(SET!P54="","",SET!S54)</f>
        <v/>
      </c>
      <c r="O56" s="17" t="str">
        <f>IF(SET!P54="","",SET!U54)</f>
        <v/>
      </c>
      <c r="P56" s="19"/>
    </row>
    <row r="57" ht="15.75" customHeight="1">
      <c r="A57" s="7" t="str">
        <f>IF(SET!P55="","",SET!L55)</f>
        <v/>
      </c>
      <c r="B57" s="8" t="str">
        <f>IF(SET!P55="","",TEXT(DATE(SET!O55,SET!N55,SET!M55),"DD/MM/YYYY"))</f>
        <v/>
      </c>
      <c r="C57" s="9" t="str">
        <f>IF(SET!P55="","",SET!P55)</f>
        <v/>
      </c>
      <c r="D57" s="10" t="str">
        <f>IF(SET!P55="","",TEXT(TIME(SET!Q55,SET!R55,0),"HH:MM"))</f>
        <v/>
      </c>
      <c r="E57" s="11" t="str">
        <f>IF(SET!P55="","",IF(SET!T55="iScout","📱",IF(SET!T55="XSA Neo","💻","📞")))</f>
        <v/>
      </c>
      <c r="F57" s="12" t="str">
        <f>IF(SET!P55="","",IFERROR(VLOOKUP(SET!U55,SET!$E$118:$G$161,2,FALSE),"⚽"))</f>
        <v/>
      </c>
      <c r="G57" s="13" t="str">
        <f>IF(SET!P55="","",IFERROR(VLOOKUP(SET!V55,SET!$B$56:$C$270,2,FALSE),"🌍"))</f>
        <v/>
      </c>
      <c r="H57" s="8" t="str">
        <f>IF(SET!P55="","",SET!W55)</f>
        <v/>
      </c>
      <c r="I57" s="14" t="str">
        <f>IF(SET!P55="","",SET!X55)</f>
        <v/>
      </c>
      <c r="J57" s="14" t="str">
        <f>IF(SET!P55="","",SET!Y55)</f>
        <v/>
      </c>
      <c r="K57" s="8" t="str">
        <f>IF(SET!P55="","",SUBSTITUTE(SET!AA55,"(Stream)",""))</f>
        <v/>
      </c>
      <c r="L57" s="15" t="str">
        <f>IF(SET!P55="","",SUBSTITUTE(SET!AC55,"(Stream)",""))</f>
        <v/>
      </c>
      <c r="M57" s="16" t="str">
        <f>IF(SET!P55="","",SET!T55)</f>
        <v/>
      </c>
      <c r="N57" s="17" t="str">
        <f>IF(SET!P55="","",SET!S55)</f>
        <v/>
      </c>
      <c r="O57" s="17" t="str">
        <f>IF(SET!P55="","",SET!U55)</f>
        <v/>
      </c>
      <c r="P57" s="19"/>
    </row>
    <row r="58" ht="15.75" customHeight="1">
      <c r="A58" s="7" t="str">
        <f>IF(SET!P56="","",SET!L56)</f>
        <v/>
      </c>
      <c r="B58" s="8" t="str">
        <f>IF(SET!P56="","",TEXT(DATE(SET!O56,SET!N56,SET!M56),"DD/MM/YYYY"))</f>
        <v/>
      </c>
      <c r="C58" s="9" t="str">
        <f>IF(SET!P56="","",SET!P56)</f>
        <v/>
      </c>
      <c r="D58" s="10" t="str">
        <f>IF(SET!P56="","",TEXT(TIME(SET!Q56,SET!R56,0),"HH:MM"))</f>
        <v/>
      </c>
      <c r="E58" s="11" t="str">
        <f>IF(SET!P56="","",IF(SET!T56="iScout","📱",IF(SET!T56="XSA Neo","💻","📞")))</f>
        <v/>
      </c>
      <c r="F58" s="12" t="str">
        <f>IF(SET!P56="","",IFERROR(VLOOKUP(SET!U56,SET!$E$118:$G$161,2,FALSE),"⚽"))</f>
        <v/>
      </c>
      <c r="G58" s="13" t="str">
        <f>IF(SET!P56="","",IFERROR(VLOOKUP(SET!V56,SET!$B$56:$C$270,2,FALSE),"🌍"))</f>
        <v/>
      </c>
      <c r="H58" s="8" t="str">
        <f>IF(SET!P56="","",SET!W56)</f>
        <v/>
      </c>
      <c r="I58" s="14" t="str">
        <f>IF(SET!P56="","",SET!X56)</f>
        <v/>
      </c>
      <c r="J58" s="14" t="str">
        <f>IF(SET!P56="","",SET!Y56)</f>
        <v/>
      </c>
      <c r="K58" s="8" t="str">
        <f>IF(SET!P56="","",SUBSTITUTE(SET!AA56,"(Stream)",""))</f>
        <v/>
      </c>
      <c r="L58" s="15" t="str">
        <f>IF(SET!P56="","",SUBSTITUTE(SET!AC56,"(Stream)",""))</f>
        <v/>
      </c>
      <c r="M58" s="16" t="str">
        <f>IF(SET!P56="","",SET!T56)</f>
        <v/>
      </c>
      <c r="N58" s="17" t="str">
        <f>IF(SET!P56="","",SET!S56)</f>
        <v/>
      </c>
      <c r="O58" s="17" t="str">
        <f>IF(SET!P56="","",SET!U56)</f>
        <v/>
      </c>
      <c r="P58" s="19"/>
    </row>
    <row r="59" ht="15.75" customHeight="1">
      <c r="A59" s="7" t="str">
        <f>IF(SET!P57="","",SET!L57)</f>
        <v/>
      </c>
      <c r="B59" s="8" t="str">
        <f>IF(SET!P57="","",TEXT(DATE(SET!O57,SET!N57,SET!M57),"DD/MM/YYYY"))</f>
        <v/>
      </c>
      <c r="C59" s="9" t="str">
        <f>IF(SET!P57="","",SET!P57)</f>
        <v/>
      </c>
      <c r="D59" s="10" t="str">
        <f>IF(SET!P57="","",TEXT(TIME(SET!Q57,SET!R57,0),"HH:MM"))</f>
        <v/>
      </c>
      <c r="E59" s="11" t="str">
        <f>IF(SET!P57="","",IF(SET!T57="iScout","📱",IF(SET!T57="XSA Neo","💻","📞")))</f>
        <v/>
      </c>
      <c r="F59" s="12" t="str">
        <f>IF(SET!P57="","",IFERROR(VLOOKUP(SET!U57,SET!$E$118:$G$161,2,FALSE),"⚽"))</f>
        <v/>
      </c>
      <c r="G59" s="13" t="str">
        <f>IF(SET!P57="","",IFERROR(VLOOKUP(SET!V57,SET!$B$56:$C$270,2,FALSE),"🌍"))</f>
        <v/>
      </c>
      <c r="H59" s="8" t="str">
        <f>IF(SET!P57="","",SET!W57)</f>
        <v/>
      </c>
      <c r="I59" s="14" t="str">
        <f>IF(SET!P57="","",SET!X57)</f>
        <v/>
      </c>
      <c r="J59" s="14" t="str">
        <f>IF(SET!P57="","",SET!Y57)</f>
        <v/>
      </c>
      <c r="K59" s="8" t="str">
        <f>IF(SET!P57="","",SUBSTITUTE(SET!AA57,"(Stream)",""))</f>
        <v/>
      </c>
      <c r="L59" s="15" t="str">
        <f>IF(SET!P57="","",SUBSTITUTE(SET!AC57,"(Stream)",""))</f>
        <v/>
      </c>
      <c r="M59" s="16" t="str">
        <f>IF(SET!P57="","",SET!T57)</f>
        <v/>
      </c>
      <c r="N59" s="17" t="str">
        <f>IF(SET!P57="","",SET!S57)</f>
        <v/>
      </c>
      <c r="O59" s="17" t="str">
        <f>IF(SET!P57="","",SET!U57)</f>
        <v/>
      </c>
      <c r="P59" s="19"/>
    </row>
    <row r="60" ht="15.75" customHeight="1">
      <c r="A60" s="7" t="str">
        <f>IF(SET!P58="","",SET!L58)</f>
        <v/>
      </c>
      <c r="B60" s="8" t="str">
        <f>IF(SET!P58="","",TEXT(DATE(SET!O58,SET!N58,SET!M58),"DD/MM/YYYY"))</f>
        <v/>
      </c>
      <c r="C60" s="9" t="str">
        <f>IF(SET!P58="","",SET!P58)</f>
        <v/>
      </c>
      <c r="D60" s="10" t="str">
        <f>IF(SET!P58="","",TEXT(TIME(SET!Q58,SET!R58,0),"HH:MM"))</f>
        <v/>
      </c>
      <c r="E60" s="11" t="str">
        <f>IF(SET!P58="","",IF(SET!T58="iScout","📱",IF(SET!T58="XSA Neo","💻","📞")))</f>
        <v/>
      </c>
      <c r="F60" s="12" t="str">
        <f>IF(SET!P58="","",IFERROR(VLOOKUP(SET!U58,SET!$E$118:$G$161,2,FALSE),"⚽"))</f>
        <v/>
      </c>
      <c r="G60" s="13" t="str">
        <f>IF(SET!P58="","",IFERROR(VLOOKUP(SET!V58,SET!$B$56:$C$270,2,FALSE),"🌍"))</f>
        <v/>
      </c>
      <c r="H60" s="8" t="str">
        <f>IF(SET!P58="","",SET!W58)</f>
        <v/>
      </c>
      <c r="I60" s="14" t="str">
        <f>IF(SET!P58="","",SET!X58)</f>
        <v/>
      </c>
      <c r="J60" s="14" t="str">
        <f>IF(SET!P58="","",SET!Y58)</f>
        <v/>
      </c>
      <c r="K60" s="8" t="str">
        <f>IF(SET!P58="","",SUBSTITUTE(SET!AA58,"(Stream)",""))</f>
        <v/>
      </c>
      <c r="L60" s="15" t="str">
        <f>IF(SET!P58="","",SUBSTITUTE(SET!AC58,"(Stream)",""))</f>
        <v/>
      </c>
      <c r="M60" s="16" t="str">
        <f>IF(SET!P58="","",SET!T58)</f>
        <v/>
      </c>
      <c r="N60" s="17" t="str">
        <f>IF(SET!P58="","",SET!S58)</f>
        <v/>
      </c>
      <c r="O60" s="17" t="str">
        <f>IF(SET!P58="","",SET!U58)</f>
        <v/>
      </c>
      <c r="P60" s="19"/>
    </row>
    <row r="61" ht="15.75" customHeight="1">
      <c r="A61" s="7" t="str">
        <f>IF(SET!P59="","",SET!L59)</f>
        <v/>
      </c>
      <c r="B61" s="8" t="str">
        <f>IF(SET!P59="","",TEXT(DATE(SET!O59,SET!N59,SET!M59),"DD/MM/YYYY"))</f>
        <v/>
      </c>
      <c r="C61" s="9" t="str">
        <f>IF(SET!P59="","",SET!P59)</f>
        <v/>
      </c>
      <c r="D61" s="10" t="str">
        <f>IF(SET!P59="","",TEXT(TIME(SET!Q59,SET!R59,0),"HH:MM"))</f>
        <v/>
      </c>
      <c r="E61" s="11" t="str">
        <f>IF(SET!P59="","",IF(SET!T59="iScout","📱",IF(SET!T59="XSA Neo","💻","📞")))</f>
        <v/>
      </c>
      <c r="F61" s="12" t="str">
        <f>IF(SET!P59="","",IFERROR(VLOOKUP(SET!U59,SET!$E$118:$G$161,2,FALSE),"⚽"))</f>
        <v/>
      </c>
      <c r="G61" s="13" t="str">
        <f>IF(SET!P59="","",IFERROR(VLOOKUP(SET!V59,SET!$B$56:$C$270,2,FALSE),"🌍"))</f>
        <v/>
      </c>
      <c r="H61" s="8" t="str">
        <f>IF(SET!P59="","",SET!W59)</f>
        <v/>
      </c>
      <c r="I61" s="14" t="str">
        <f>IF(SET!P59="","",SET!X59)</f>
        <v/>
      </c>
      <c r="J61" s="14" t="str">
        <f>IF(SET!P59="","",SET!Y59)</f>
        <v/>
      </c>
      <c r="K61" s="8" t="str">
        <f>IF(SET!P59="","",SUBSTITUTE(SET!AA59,"(Stream)",""))</f>
        <v/>
      </c>
      <c r="L61" s="15" t="str">
        <f>IF(SET!P59="","",SUBSTITUTE(SET!AC59,"(Stream)",""))</f>
        <v/>
      </c>
      <c r="M61" s="16" t="str">
        <f>IF(SET!P59="","",SET!T59)</f>
        <v/>
      </c>
      <c r="N61" s="17" t="str">
        <f>IF(SET!P59="","",SET!S59)</f>
        <v/>
      </c>
      <c r="O61" s="17" t="str">
        <f>IF(SET!P59="","",SET!U59)</f>
        <v/>
      </c>
      <c r="P61" s="19"/>
    </row>
    <row r="62" ht="15.75" customHeight="1">
      <c r="A62" s="7" t="str">
        <f>IF(SET!P60="","",SET!L60)</f>
        <v/>
      </c>
      <c r="B62" s="8" t="str">
        <f>IF(SET!P60="","",TEXT(DATE(SET!O60,SET!N60,SET!M60),"DD/MM/YYYY"))</f>
        <v/>
      </c>
      <c r="C62" s="9" t="str">
        <f>IF(SET!P60="","",SET!P60)</f>
        <v/>
      </c>
      <c r="D62" s="10" t="str">
        <f>IF(SET!P60="","",TEXT(TIME(SET!Q60,SET!R60,0),"HH:MM"))</f>
        <v/>
      </c>
      <c r="E62" s="11" t="str">
        <f>IF(SET!P60="","",IF(SET!T60="iScout","📱",IF(SET!T60="XSA Neo","💻","📞")))</f>
        <v/>
      </c>
      <c r="F62" s="12" t="str">
        <f>IF(SET!P60="","",IFERROR(VLOOKUP(SET!U60,SET!$E$118:$G$161,2,FALSE),"⚽"))</f>
        <v/>
      </c>
      <c r="G62" s="13" t="str">
        <f>IF(SET!P60="","",IFERROR(VLOOKUP(SET!V60,SET!$B$56:$C$270,2,FALSE),"🌍"))</f>
        <v/>
      </c>
      <c r="H62" s="8" t="str">
        <f>IF(SET!P60="","",SET!W60)</f>
        <v/>
      </c>
      <c r="I62" s="14" t="str">
        <f>IF(SET!P60="","",SET!X60)</f>
        <v/>
      </c>
      <c r="J62" s="14" t="str">
        <f>IF(SET!P60="","",SET!Y60)</f>
        <v/>
      </c>
      <c r="K62" s="8" t="str">
        <f>IF(SET!P60="","",SUBSTITUTE(SET!AA60,"(Stream)",""))</f>
        <v/>
      </c>
      <c r="L62" s="15" t="str">
        <f>IF(SET!P60="","",SUBSTITUTE(SET!AC60,"(Stream)",""))</f>
        <v/>
      </c>
      <c r="M62" s="16" t="str">
        <f>IF(SET!P60="","",SET!T60)</f>
        <v/>
      </c>
      <c r="N62" s="17" t="str">
        <f>IF(SET!P60="","",SET!S60)</f>
        <v/>
      </c>
      <c r="O62" s="17" t="str">
        <f>IF(SET!P60="","",SET!U60)</f>
        <v/>
      </c>
      <c r="P62" s="19"/>
    </row>
    <row r="63" ht="15.75" customHeight="1">
      <c r="A63" s="7" t="str">
        <f>IF(SET!P61="","",SET!L61)</f>
        <v/>
      </c>
      <c r="B63" s="8" t="str">
        <f>IF(SET!P61="","",TEXT(DATE(SET!O61,SET!N61,SET!M61),"DD/MM/YYYY"))</f>
        <v/>
      </c>
      <c r="C63" s="9" t="str">
        <f>IF(SET!P61="","",SET!P61)</f>
        <v/>
      </c>
      <c r="D63" s="10" t="str">
        <f>IF(SET!P61="","",TEXT(TIME(SET!Q61,SET!R61,0),"HH:MM"))</f>
        <v/>
      </c>
      <c r="E63" s="11" t="str">
        <f>IF(SET!P61="","",IF(SET!T61="iScout","📱",IF(SET!T61="XSA Neo","💻","📞")))</f>
        <v/>
      </c>
      <c r="F63" s="12" t="str">
        <f>IF(SET!P61="","",IFERROR(VLOOKUP(SET!U61,SET!$E$118:$G$161,2,FALSE),"⚽"))</f>
        <v/>
      </c>
      <c r="G63" s="13" t="str">
        <f>IF(SET!P61="","",IFERROR(VLOOKUP(SET!V61,SET!$B$56:$C$270,2,FALSE),"🌍"))</f>
        <v/>
      </c>
      <c r="H63" s="8" t="str">
        <f>IF(SET!P61="","",SET!W61)</f>
        <v/>
      </c>
      <c r="I63" s="14" t="str">
        <f>IF(SET!P61="","",SET!X61)</f>
        <v/>
      </c>
      <c r="J63" s="14" t="str">
        <f>IF(SET!P61="","",SET!Y61)</f>
        <v/>
      </c>
      <c r="K63" s="8" t="str">
        <f>IF(SET!P61="","",SUBSTITUTE(SET!AA61,"(Stream)",""))</f>
        <v/>
      </c>
      <c r="L63" s="15" t="str">
        <f>IF(SET!P61="","",SUBSTITUTE(SET!AC61,"(Stream)",""))</f>
        <v/>
      </c>
      <c r="M63" s="16" t="str">
        <f>IF(SET!P61="","",SET!T61)</f>
        <v/>
      </c>
      <c r="N63" s="17" t="str">
        <f>IF(SET!P61="","",SET!S61)</f>
        <v/>
      </c>
      <c r="O63" s="17" t="str">
        <f>IF(SET!P61="","",SET!U61)</f>
        <v/>
      </c>
      <c r="P63" s="19"/>
    </row>
    <row r="64" ht="15.75" customHeight="1">
      <c r="A64" s="7" t="str">
        <f>IF(SET!P62="","",SET!L62)</f>
        <v/>
      </c>
      <c r="B64" s="8" t="str">
        <f>IF(SET!P62="","",TEXT(DATE(SET!O62,SET!N62,SET!M62),"DD/MM/YYYY"))</f>
        <v/>
      </c>
      <c r="C64" s="9" t="str">
        <f>IF(SET!P62="","",SET!P62)</f>
        <v/>
      </c>
      <c r="D64" s="10" t="str">
        <f>IF(SET!P62="","",TEXT(TIME(SET!Q62,SET!R62,0),"HH:MM"))</f>
        <v/>
      </c>
      <c r="E64" s="11" t="str">
        <f>IF(SET!P62="","",IF(SET!T62="iScout","📱",IF(SET!T62="XSA Neo","💻","📞")))</f>
        <v/>
      </c>
      <c r="F64" s="12" t="str">
        <f>IF(SET!P62="","",IFERROR(VLOOKUP(SET!U62,SET!$E$118:$G$161,2,FALSE),"⚽"))</f>
        <v/>
      </c>
      <c r="G64" s="13" t="str">
        <f>IF(SET!P62="","",IFERROR(VLOOKUP(SET!V62,SET!$B$56:$C$270,2,FALSE),"🌍"))</f>
        <v/>
      </c>
      <c r="H64" s="8" t="str">
        <f>IF(SET!P62="","",SET!W62)</f>
        <v/>
      </c>
      <c r="I64" s="14" t="str">
        <f>IF(SET!P62="","",SET!X62)</f>
        <v/>
      </c>
      <c r="J64" s="14" t="str">
        <f>IF(SET!P62="","",SET!Y62)</f>
        <v/>
      </c>
      <c r="K64" s="8" t="str">
        <f>IF(SET!P62="","",SUBSTITUTE(SET!AA62,"(Stream)",""))</f>
        <v/>
      </c>
      <c r="L64" s="15" t="str">
        <f>IF(SET!P62="","",SUBSTITUTE(SET!AC62,"(Stream)",""))</f>
        <v/>
      </c>
      <c r="M64" s="16" t="str">
        <f>IF(SET!P62="","",SET!T62)</f>
        <v/>
      </c>
      <c r="N64" s="17" t="str">
        <f>IF(SET!P62="","",SET!S62)</f>
        <v/>
      </c>
      <c r="O64" s="17" t="str">
        <f>IF(SET!P62="","",SET!U62)</f>
        <v/>
      </c>
      <c r="P64" s="19"/>
    </row>
    <row r="65" ht="15.75" customHeight="1">
      <c r="A65" s="7" t="str">
        <f>IF(SET!P63="","",SET!L63)</f>
        <v/>
      </c>
      <c r="B65" s="8" t="str">
        <f>IF(SET!P63="","",TEXT(DATE(SET!O63,SET!N63,SET!M63),"DD/MM/YYYY"))</f>
        <v/>
      </c>
      <c r="C65" s="9" t="str">
        <f>IF(SET!P63="","",SET!P63)</f>
        <v/>
      </c>
      <c r="D65" s="10" t="str">
        <f>IF(SET!P63="","",TEXT(TIME(SET!Q63,SET!R63,0),"HH:MM"))</f>
        <v/>
      </c>
      <c r="E65" s="11" t="str">
        <f>IF(SET!P63="","",IF(SET!T63="iScout","📱",IF(SET!T63="XSA Neo","💻","📞")))</f>
        <v/>
      </c>
      <c r="F65" s="12" t="str">
        <f>IF(SET!P63="","",IFERROR(VLOOKUP(SET!U63,SET!$E$118:$G$161,2,FALSE),"⚽"))</f>
        <v/>
      </c>
      <c r="G65" s="13" t="str">
        <f>IF(SET!P63="","",IFERROR(VLOOKUP(SET!V63,SET!$B$56:$C$270,2,FALSE),"🌍"))</f>
        <v/>
      </c>
      <c r="H65" s="8" t="str">
        <f>IF(SET!P63="","",SET!W63)</f>
        <v/>
      </c>
      <c r="I65" s="14" t="str">
        <f>IF(SET!P63="","",SET!X63)</f>
        <v/>
      </c>
      <c r="J65" s="14" t="str">
        <f>IF(SET!P63="","",SET!Y63)</f>
        <v/>
      </c>
      <c r="K65" s="8" t="str">
        <f>IF(SET!P63="","",SUBSTITUTE(SET!AA63,"(Stream)",""))</f>
        <v/>
      </c>
      <c r="L65" s="15" t="str">
        <f>IF(SET!P63="","",SUBSTITUTE(SET!AC63,"(Stream)",""))</f>
        <v/>
      </c>
      <c r="M65" s="16" t="str">
        <f>IF(SET!P63="","",SET!T63)</f>
        <v/>
      </c>
      <c r="N65" s="17" t="str">
        <f>IF(SET!P63="","",SET!S63)</f>
        <v/>
      </c>
      <c r="O65" s="17" t="str">
        <f>IF(SET!P63="","",SET!U63)</f>
        <v/>
      </c>
      <c r="P65" s="19"/>
    </row>
    <row r="66" ht="15.75" customHeight="1">
      <c r="A66" s="7" t="str">
        <f>IF(SET!P64="","",SET!L64)</f>
        <v/>
      </c>
      <c r="B66" s="8" t="str">
        <f>IF(SET!P64="","",TEXT(DATE(SET!O64,SET!N64,SET!M64),"DD/MM/YYYY"))</f>
        <v/>
      </c>
      <c r="C66" s="9" t="str">
        <f>IF(SET!P64="","",SET!P64)</f>
        <v/>
      </c>
      <c r="D66" s="10" t="str">
        <f>IF(SET!P64="","",TEXT(TIME(SET!Q64,SET!R64,0),"HH:MM"))</f>
        <v/>
      </c>
      <c r="E66" s="11" t="str">
        <f>IF(SET!P64="","",IF(SET!T64="iScout","📱",IF(SET!T64="XSA Neo","💻","📞")))</f>
        <v/>
      </c>
      <c r="F66" s="12" t="str">
        <f>IF(SET!P64="","",IFERROR(VLOOKUP(SET!U64,SET!$E$118:$G$161,2,FALSE),"⚽"))</f>
        <v/>
      </c>
      <c r="G66" s="13" t="str">
        <f>IF(SET!P64="","",IFERROR(VLOOKUP(SET!V64,SET!$B$56:$C$270,2,FALSE),"🌍"))</f>
        <v/>
      </c>
      <c r="H66" s="8" t="str">
        <f>IF(SET!P64="","",SET!W64)</f>
        <v/>
      </c>
      <c r="I66" s="14" t="str">
        <f>IF(SET!P64="","",SET!X64)</f>
        <v/>
      </c>
      <c r="J66" s="14" t="str">
        <f>IF(SET!P64="","",SET!Y64)</f>
        <v/>
      </c>
      <c r="K66" s="8" t="str">
        <f>IF(SET!P64="","",SUBSTITUTE(SET!AA64,"(Stream)",""))</f>
        <v/>
      </c>
      <c r="L66" s="15" t="str">
        <f>IF(SET!P64="","",SUBSTITUTE(SET!AC64,"(Stream)",""))</f>
        <v/>
      </c>
      <c r="M66" s="16" t="str">
        <f>IF(SET!P64="","",SET!T64)</f>
        <v/>
      </c>
      <c r="N66" s="17" t="str">
        <f>IF(SET!P64="","",SET!S64)</f>
        <v/>
      </c>
      <c r="O66" s="17" t="str">
        <f>IF(SET!P64="","",SET!U64)</f>
        <v/>
      </c>
      <c r="P66" s="19"/>
    </row>
    <row r="67" ht="15.75" customHeight="1">
      <c r="A67" s="7" t="str">
        <f>IF(SET!P65="","",SET!L65)</f>
        <v/>
      </c>
      <c r="B67" s="8" t="str">
        <f>IF(SET!P65="","",TEXT(DATE(SET!O65,SET!N65,SET!M65),"DD/MM/YYYY"))</f>
        <v/>
      </c>
      <c r="C67" s="9" t="str">
        <f>IF(SET!P65="","",SET!P65)</f>
        <v/>
      </c>
      <c r="D67" s="10" t="str">
        <f>IF(SET!P65="","",TEXT(TIME(SET!Q65,SET!R65,0),"HH:MM"))</f>
        <v/>
      </c>
      <c r="E67" s="11" t="str">
        <f>IF(SET!P65="","",IF(SET!T65="iScout","📱",IF(SET!T65="XSA Neo","💻","📞")))</f>
        <v/>
      </c>
      <c r="F67" s="12" t="str">
        <f>IF(SET!P65="","",IFERROR(VLOOKUP(SET!U65,SET!$E$118:$G$161,2,FALSE),"⚽"))</f>
        <v/>
      </c>
      <c r="G67" s="13" t="str">
        <f>IF(SET!P65="","",IFERROR(VLOOKUP(SET!V65,SET!$B$56:$C$270,2,FALSE),"🌍"))</f>
        <v/>
      </c>
      <c r="H67" s="8" t="str">
        <f>IF(SET!P65="","",SET!W65)</f>
        <v/>
      </c>
      <c r="I67" s="14" t="str">
        <f>IF(SET!P65="","",SET!X65)</f>
        <v/>
      </c>
      <c r="J67" s="14" t="str">
        <f>IF(SET!P65="","",SET!Y65)</f>
        <v/>
      </c>
      <c r="K67" s="8" t="str">
        <f>IF(SET!P65="","",SUBSTITUTE(SET!AA65,"(Stream)",""))</f>
        <v/>
      </c>
      <c r="L67" s="15" t="str">
        <f>IF(SET!P65="","",SUBSTITUTE(SET!AC65,"(Stream)",""))</f>
        <v/>
      </c>
      <c r="M67" s="16" t="str">
        <f>IF(SET!P65="","",SET!T65)</f>
        <v/>
      </c>
      <c r="N67" s="17" t="str">
        <f>IF(SET!P65="","",SET!S65)</f>
        <v/>
      </c>
      <c r="O67" s="17" t="str">
        <f>IF(SET!P65="","",SET!U65)</f>
        <v/>
      </c>
      <c r="P67" s="19"/>
    </row>
    <row r="68" ht="15.75" customHeight="1">
      <c r="A68" s="7" t="str">
        <f>IF(SET!P66="","",SET!L66)</f>
        <v/>
      </c>
      <c r="B68" s="8" t="str">
        <f>IF(SET!P66="","",TEXT(DATE(SET!O66,SET!N66,SET!M66),"DD/MM/YYYY"))</f>
        <v/>
      </c>
      <c r="C68" s="9" t="str">
        <f>IF(SET!P66="","",SET!P66)</f>
        <v/>
      </c>
      <c r="D68" s="10" t="str">
        <f>IF(SET!P66="","",TEXT(TIME(SET!Q66,SET!R66,0),"HH:MM"))</f>
        <v/>
      </c>
      <c r="E68" s="11" t="str">
        <f>IF(SET!P66="","",IF(SET!T66="iScout","📱",IF(SET!T66="XSA Neo","💻","📞")))</f>
        <v/>
      </c>
      <c r="F68" s="12" t="str">
        <f>IF(SET!P66="","",IFERROR(VLOOKUP(SET!U66,SET!$E$118:$G$161,2,FALSE),"⚽"))</f>
        <v/>
      </c>
      <c r="G68" s="13" t="str">
        <f>IF(SET!P66="","",IFERROR(VLOOKUP(SET!V66,SET!$B$56:$C$270,2,FALSE),"🌍"))</f>
        <v/>
      </c>
      <c r="H68" s="8" t="str">
        <f>IF(SET!P66="","",SET!W66)</f>
        <v/>
      </c>
      <c r="I68" s="14" t="str">
        <f>IF(SET!P66="","",SET!X66)</f>
        <v/>
      </c>
      <c r="J68" s="14" t="str">
        <f>IF(SET!P66="","",SET!Y66)</f>
        <v/>
      </c>
      <c r="K68" s="8" t="str">
        <f>IF(SET!P66="","",SUBSTITUTE(SET!AA66,"(Stream)",""))</f>
        <v/>
      </c>
      <c r="L68" s="15" t="str">
        <f>IF(SET!P66="","",SUBSTITUTE(SET!AC66,"(Stream)",""))</f>
        <v/>
      </c>
      <c r="M68" s="16" t="str">
        <f>IF(SET!P66="","",SET!T66)</f>
        <v/>
      </c>
      <c r="N68" s="17" t="str">
        <f>IF(SET!P66="","",SET!S66)</f>
        <v/>
      </c>
      <c r="O68" s="17" t="str">
        <f>IF(SET!P66="","",SET!U66)</f>
        <v/>
      </c>
      <c r="P68" s="19"/>
    </row>
    <row r="69" ht="15.75" customHeight="1">
      <c r="A69" s="7" t="str">
        <f>IF(SET!P67="","",SET!L67)</f>
        <v/>
      </c>
      <c r="B69" s="8" t="str">
        <f>IF(SET!P67="","",TEXT(DATE(SET!O67,SET!N67,SET!M67),"DD/MM/YYYY"))</f>
        <v/>
      </c>
      <c r="C69" s="9" t="str">
        <f>IF(SET!P67="","",SET!P67)</f>
        <v/>
      </c>
      <c r="D69" s="10" t="str">
        <f>IF(SET!P67="","",TEXT(TIME(SET!Q67,SET!R67,0),"HH:MM"))</f>
        <v/>
      </c>
      <c r="E69" s="11" t="str">
        <f>IF(SET!P67="","",IF(SET!T67="iScout","📱",IF(SET!T67="XSA Neo","💻","📞")))</f>
        <v/>
      </c>
      <c r="F69" s="12" t="str">
        <f>IF(SET!P67="","",IFERROR(VLOOKUP(SET!U67,SET!$E$118:$G$161,2,FALSE),"⚽"))</f>
        <v/>
      </c>
      <c r="G69" s="13" t="str">
        <f>IF(SET!P67="","",IFERROR(VLOOKUP(SET!V67,SET!$B$56:$C$270,2,FALSE),"🌍"))</f>
        <v/>
      </c>
      <c r="H69" s="8" t="str">
        <f>IF(SET!P67="","",SET!W67)</f>
        <v/>
      </c>
      <c r="I69" s="14" t="str">
        <f>IF(SET!P67="","",SET!X67)</f>
        <v/>
      </c>
      <c r="J69" s="14" t="str">
        <f>IF(SET!P67="","",SET!Y67)</f>
        <v/>
      </c>
      <c r="K69" s="8" t="str">
        <f>IF(SET!P67="","",SUBSTITUTE(SET!AA67,"(Stream)",""))</f>
        <v/>
      </c>
      <c r="L69" s="15" t="str">
        <f>IF(SET!P67="","",SUBSTITUTE(SET!AC67,"(Stream)",""))</f>
        <v/>
      </c>
      <c r="M69" s="16" t="str">
        <f>IF(SET!P67="","",SET!T67)</f>
        <v/>
      </c>
      <c r="N69" s="17" t="str">
        <f>IF(SET!P67="","",SET!S67)</f>
        <v/>
      </c>
      <c r="O69" s="17" t="str">
        <f>IF(SET!P67="","",SET!U67)</f>
        <v/>
      </c>
      <c r="P69" s="19"/>
    </row>
    <row r="70" ht="15.75" customHeight="1">
      <c r="A70" s="7" t="str">
        <f>IF(SET!P68="","",SET!L68)</f>
        <v/>
      </c>
      <c r="B70" s="8" t="str">
        <f>IF(SET!P68="","",TEXT(DATE(SET!O68,SET!N68,SET!M68),"DD/MM/YYYY"))</f>
        <v/>
      </c>
      <c r="C70" s="9" t="str">
        <f>IF(SET!P68="","",SET!P68)</f>
        <v/>
      </c>
      <c r="D70" s="10" t="str">
        <f>IF(SET!P68="","",TEXT(TIME(SET!Q68,SET!R68,0),"HH:MM"))</f>
        <v/>
      </c>
      <c r="E70" s="11" t="str">
        <f>IF(SET!P68="","",IF(SET!T68="iScout","📱",IF(SET!T68="XSA Neo","💻","📞")))</f>
        <v/>
      </c>
      <c r="F70" s="12" t="str">
        <f>IF(SET!P68="","",IFERROR(VLOOKUP(SET!U68,SET!$E$118:$G$161,2,FALSE),"⚽"))</f>
        <v/>
      </c>
      <c r="G70" s="13" t="str">
        <f>IF(SET!P68="","",IFERROR(VLOOKUP(SET!V68,SET!$B$56:$C$270,2,FALSE),"🌍"))</f>
        <v/>
      </c>
      <c r="H70" s="8" t="str">
        <f>IF(SET!P68="","",SET!W68)</f>
        <v/>
      </c>
      <c r="I70" s="14" t="str">
        <f>IF(SET!P68="","",SET!X68)</f>
        <v/>
      </c>
      <c r="J70" s="14" t="str">
        <f>IF(SET!P68="","",SET!Y68)</f>
        <v/>
      </c>
      <c r="K70" s="8" t="str">
        <f>IF(SET!P68="","",SUBSTITUTE(SET!AA68,"(Stream)",""))</f>
        <v/>
      </c>
      <c r="L70" s="15" t="str">
        <f>IF(SET!P68="","",SUBSTITUTE(SET!AC68,"(Stream)",""))</f>
        <v/>
      </c>
      <c r="M70" s="16" t="str">
        <f>IF(SET!P68="","",SET!T68)</f>
        <v/>
      </c>
      <c r="N70" s="17" t="str">
        <f>IF(SET!P68="","",SET!S68)</f>
        <v/>
      </c>
      <c r="O70" s="17" t="str">
        <f>IF(SET!P68="","",SET!U68)</f>
        <v/>
      </c>
      <c r="P70" s="19"/>
    </row>
    <row r="71" ht="15.75" customHeight="1">
      <c r="A71" s="7" t="str">
        <f>IF(SET!P69="","",SET!L69)</f>
        <v/>
      </c>
      <c r="B71" s="8" t="str">
        <f>IF(SET!P69="","",TEXT(DATE(SET!O69,SET!N69,SET!M69),"DD/MM/YYYY"))</f>
        <v/>
      </c>
      <c r="C71" s="9" t="str">
        <f>IF(SET!P69="","",SET!P69)</f>
        <v/>
      </c>
      <c r="D71" s="10" t="str">
        <f>IF(SET!P69="","",TEXT(TIME(SET!Q69,SET!R69,0),"HH:MM"))</f>
        <v/>
      </c>
      <c r="E71" s="11" t="str">
        <f>IF(SET!P69="","",IF(SET!T69="iScout","📱",IF(SET!T69="XSA Neo","💻","📞")))</f>
        <v/>
      </c>
      <c r="F71" s="12" t="str">
        <f>IF(SET!P69="","",IFERROR(VLOOKUP(SET!U69,SET!$E$118:$G$161,2,FALSE),"⚽"))</f>
        <v/>
      </c>
      <c r="G71" s="13" t="str">
        <f>IF(SET!P69="","",IFERROR(VLOOKUP(SET!V69,SET!$B$56:$C$270,2,FALSE),"🌍"))</f>
        <v/>
      </c>
      <c r="H71" s="8" t="str">
        <f>IF(SET!P69="","",SET!W69)</f>
        <v/>
      </c>
      <c r="I71" s="14" t="str">
        <f>IF(SET!P69="","",SET!X69)</f>
        <v/>
      </c>
      <c r="J71" s="14" t="str">
        <f>IF(SET!P69="","",SET!Y69)</f>
        <v/>
      </c>
      <c r="K71" s="8" t="str">
        <f>IF(SET!P69="","",SUBSTITUTE(SET!AA69,"(Stream)",""))</f>
        <v/>
      </c>
      <c r="L71" s="15" t="str">
        <f>IF(SET!P69="","",SUBSTITUTE(SET!AC69,"(Stream)",""))</f>
        <v/>
      </c>
      <c r="M71" s="16" t="str">
        <f>IF(SET!P69="","",SET!T69)</f>
        <v/>
      </c>
      <c r="N71" s="17" t="str">
        <f>IF(SET!P69="","",SET!S69)</f>
        <v/>
      </c>
      <c r="O71" s="17" t="str">
        <f>IF(SET!P69="","",SET!U69)</f>
        <v/>
      </c>
      <c r="P71" s="19"/>
    </row>
    <row r="72" ht="15.75" customHeight="1">
      <c r="A72" s="7" t="str">
        <f>IF(SET!P70="","",SET!L70)</f>
        <v/>
      </c>
      <c r="B72" s="8" t="str">
        <f>IF(SET!P70="","",TEXT(DATE(SET!O70,SET!N70,SET!M70),"DD/MM/YYYY"))</f>
        <v/>
      </c>
      <c r="C72" s="9" t="str">
        <f>IF(SET!P70="","",SET!P70)</f>
        <v/>
      </c>
      <c r="D72" s="10" t="str">
        <f>IF(SET!P70="","",TEXT(TIME(SET!Q70,SET!R70,0),"HH:MM"))</f>
        <v/>
      </c>
      <c r="E72" s="11" t="str">
        <f>IF(SET!P70="","",IF(SET!T70="iScout","📱",IF(SET!T70="XSA Neo","💻","📞")))</f>
        <v/>
      </c>
      <c r="F72" s="12" t="str">
        <f>IF(SET!P70="","",IFERROR(VLOOKUP(SET!U70,SET!$E$118:$G$161,2,FALSE),"⚽"))</f>
        <v/>
      </c>
      <c r="G72" s="13" t="str">
        <f>IF(SET!P70="","",IFERROR(VLOOKUP(SET!V70,SET!$B$56:$C$270,2,FALSE),"🌍"))</f>
        <v/>
      </c>
      <c r="H72" s="8" t="str">
        <f>IF(SET!P70="","",SET!W70)</f>
        <v/>
      </c>
      <c r="I72" s="14" t="str">
        <f>IF(SET!P70="","",SET!X70)</f>
        <v/>
      </c>
      <c r="J72" s="14" t="str">
        <f>IF(SET!P70="","",SET!Y70)</f>
        <v/>
      </c>
      <c r="K72" s="8" t="str">
        <f>IF(SET!P70="","",SUBSTITUTE(SET!AA70,"(Stream)",""))</f>
        <v/>
      </c>
      <c r="L72" s="15" t="str">
        <f>IF(SET!P70="","",SUBSTITUTE(SET!AC70,"(Stream)",""))</f>
        <v/>
      </c>
      <c r="M72" s="16" t="str">
        <f>IF(SET!P70="","",SET!T70)</f>
        <v/>
      </c>
      <c r="N72" s="17" t="str">
        <f>IF(SET!P70="","",SET!S70)</f>
        <v/>
      </c>
      <c r="O72" s="17" t="str">
        <f>IF(SET!P70="","",SET!U70)</f>
        <v/>
      </c>
      <c r="P72" s="19"/>
    </row>
    <row r="73" ht="15.75" customHeight="1">
      <c r="A73" s="7" t="str">
        <f>IF(SET!P71="","",SET!L71)</f>
        <v/>
      </c>
      <c r="B73" s="8" t="str">
        <f>IF(SET!P71="","",TEXT(DATE(SET!O71,SET!N71,SET!M71),"DD/MM/YYYY"))</f>
        <v/>
      </c>
      <c r="C73" s="9" t="str">
        <f>IF(SET!P71="","",SET!P71)</f>
        <v/>
      </c>
      <c r="D73" s="10" t="str">
        <f>IF(SET!P71="","",TEXT(TIME(SET!Q71,SET!R71,0),"HH:MM"))</f>
        <v/>
      </c>
      <c r="E73" s="11" t="str">
        <f>IF(SET!P71="","",IF(SET!T71="iScout","📱",IF(SET!T71="XSA Neo","💻","📞")))</f>
        <v/>
      </c>
      <c r="F73" s="12" t="str">
        <f>IF(SET!P71="","",IFERROR(VLOOKUP(SET!U71,SET!$E$118:$G$161,2,FALSE),"⚽"))</f>
        <v/>
      </c>
      <c r="G73" s="13" t="str">
        <f>IF(SET!P71="","",IFERROR(VLOOKUP(SET!V71,SET!$B$56:$C$270,2,FALSE),"🌍"))</f>
        <v/>
      </c>
      <c r="H73" s="8" t="str">
        <f>IF(SET!P71="","",SET!W71)</f>
        <v/>
      </c>
      <c r="I73" s="14" t="str">
        <f>IF(SET!P71="","",SET!X71)</f>
        <v/>
      </c>
      <c r="J73" s="14" t="str">
        <f>IF(SET!P71="","",SET!Y71)</f>
        <v/>
      </c>
      <c r="K73" s="8" t="str">
        <f>IF(SET!P71="","",SUBSTITUTE(SET!AA71,"(Stream)",""))</f>
        <v/>
      </c>
      <c r="L73" s="15" t="str">
        <f>IF(SET!P71="","",SUBSTITUTE(SET!AC71,"(Stream)",""))</f>
        <v/>
      </c>
      <c r="M73" s="16" t="str">
        <f>IF(SET!P71="","",SET!T71)</f>
        <v/>
      </c>
      <c r="N73" s="17" t="str">
        <f>IF(SET!P71="","",SET!S71)</f>
        <v/>
      </c>
      <c r="O73" s="17" t="str">
        <f>IF(SET!P71="","",SET!U71)</f>
        <v/>
      </c>
      <c r="P73" s="19"/>
    </row>
    <row r="74" ht="15.75" customHeight="1">
      <c r="A74" s="7" t="str">
        <f>IF(SET!P72="","",SET!L72)</f>
        <v/>
      </c>
      <c r="B74" s="8" t="str">
        <f>IF(SET!P72="","",TEXT(DATE(SET!O72,SET!N72,SET!M72),"DD/MM/YYYY"))</f>
        <v/>
      </c>
      <c r="C74" s="9" t="str">
        <f>IF(SET!P72="","",SET!P72)</f>
        <v/>
      </c>
      <c r="D74" s="10" t="str">
        <f>IF(SET!P72="","",TEXT(TIME(SET!Q72,SET!R72,0),"HH:MM"))</f>
        <v/>
      </c>
      <c r="E74" s="11" t="str">
        <f>IF(SET!P72="","",IF(SET!T72="iScout","📱",IF(SET!T72="XSA Neo","💻","📞")))</f>
        <v/>
      </c>
      <c r="F74" s="12" t="str">
        <f>IF(SET!P72="","",IFERROR(VLOOKUP(SET!U72,SET!$E$118:$G$161,2,FALSE),"⚽"))</f>
        <v/>
      </c>
      <c r="G74" s="13" t="str">
        <f>IF(SET!P72="","",IFERROR(VLOOKUP(SET!V72,SET!$B$56:$C$270,2,FALSE),"🌍"))</f>
        <v/>
      </c>
      <c r="H74" s="8" t="str">
        <f>IF(SET!P72="","",SET!W72)</f>
        <v/>
      </c>
      <c r="I74" s="14" t="str">
        <f>IF(SET!P72="","",SET!X72)</f>
        <v/>
      </c>
      <c r="J74" s="14" t="str">
        <f>IF(SET!P72="","",SET!Y72)</f>
        <v/>
      </c>
      <c r="K74" s="8" t="str">
        <f>IF(SET!P72="","",SUBSTITUTE(SET!AA72,"(Stream)",""))</f>
        <v/>
      </c>
      <c r="L74" s="15" t="str">
        <f>IF(SET!P72="","",SUBSTITUTE(SET!AC72,"(Stream)",""))</f>
        <v/>
      </c>
      <c r="M74" s="16" t="str">
        <f>IF(SET!P72="","",SET!T72)</f>
        <v/>
      </c>
      <c r="N74" s="17" t="str">
        <f>IF(SET!P72="","",SET!S72)</f>
        <v/>
      </c>
      <c r="O74" s="17" t="str">
        <f>IF(SET!P72="","",SET!U72)</f>
        <v/>
      </c>
      <c r="P74" s="19"/>
    </row>
    <row r="75" ht="15.75" customHeight="1">
      <c r="A75" s="7" t="str">
        <f>IF(SET!P73="","",SET!L73)</f>
        <v/>
      </c>
      <c r="B75" s="8" t="str">
        <f>IF(SET!P73="","",TEXT(DATE(SET!O73,SET!N73,SET!M73),"DD/MM/YYYY"))</f>
        <v/>
      </c>
      <c r="C75" s="9" t="str">
        <f>IF(SET!P73="","",SET!P73)</f>
        <v/>
      </c>
      <c r="D75" s="10" t="str">
        <f>IF(SET!P73="","",TEXT(TIME(SET!Q73,SET!R73,0),"HH:MM"))</f>
        <v/>
      </c>
      <c r="E75" s="11" t="str">
        <f>IF(SET!P73="","",IF(SET!T73="iScout","📱",IF(SET!T73="XSA Neo","💻","📞")))</f>
        <v/>
      </c>
      <c r="F75" s="12" t="str">
        <f>IF(SET!P73="","",IFERROR(VLOOKUP(SET!U73,SET!$E$118:$G$161,2,FALSE),"⚽"))</f>
        <v/>
      </c>
      <c r="G75" s="13" t="str">
        <f>IF(SET!P73="","",IFERROR(VLOOKUP(SET!V73,SET!$B$56:$C$270,2,FALSE),"🌍"))</f>
        <v/>
      </c>
      <c r="H75" s="8" t="str">
        <f>IF(SET!P73="","",SET!W73)</f>
        <v/>
      </c>
      <c r="I75" s="14" t="str">
        <f>IF(SET!P73="","",SET!X73)</f>
        <v/>
      </c>
      <c r="J75" s="14" t="str">
        <f>IF(SET!P73="","",SET!Y73)</f>
        <v/>
      </c>
      <c r="K75" s="8" t="str">
        <f>IF(SET!P73="","",SUBSTITUTE(SET!AA73,"(Stream)",""))</f>
        <v/>
      </c>
      <c r="L75" s="15" t="str">
        <f>IF(SET!P73="","",SUBSTITUTE(SET!AC73,"(Stream)",""))</f>
        <v/>
      </c>
      <c r="M75" s="16" t="str">
        <f>IF(SET!P73="","",SET!T73)</f>
        <v/>
      </c>
      <c r="N75" s="17" t="str">
        <f>IF(SET!P73="","",SET!S73)</f>
        <v/>
      </c>
      <c r="O75" s="17" t="str">
        <f>IF(SET!P73="","",SET!U73)</f>
        <v/>
      </c>
      <c r="P75" s="19"/>
    </row>
    <row r="76" ht="15.75" customHeight="1">
      <c r="A76" s="7" t="str">
        <f>IF(SET!P74="","",SET!L74)</f>
        <v/>
      </c>
      <c r="B76" s="8" t="str">
        <f>IF(SET!P74="","",TEXT(DATE(SET!O74,SET!N74,SET!M74),"DD/MM/YYYY"))</f>
        <v/>
      </c>
      <c r="C76" s="9" t="str">
        <f>IF(SET!P74="","",SET!P74)</f>
        <v/>
      </c>
      <c r="D76" s="10" t="str">
        <f>IF(SET!P74="","",TEXT(TIME(SET!Q74,SET!R74,0),"HH:MM"))</f>
        <v/>
      </c>
      <c r="E76" s="11" t="str">
        <f>IF(SET!P74="","",IF(SET!T74="iScout","📱",IF(SET!T74="XSA Neo","💻","📞")))</f>
        <v/>
      </c>
      <c r="F76" s="12" t="str">
        <f>IF(SET!P74="","",IFERROR(VLOOKUP(SET!U74,SET!$E$118:$G$161,2,FALSE),"⚽"))</f>
        <v/>
      </c>
      <c r="G76" s="13" t="str">
        <f>IF(SET!P74="","",IFERROR(VLOOKUP(SET!V74,SET!$B$56:$C$270,2,FALSE),"🌍"))</f>
        <v/>
      </c>
      <c r="H76" s="8" t="str">
        <f>IF(SET!P74="","",SET!W74)</f>
        <v/>
      </c>
      <c r="I76" s="14" t="str">
        <f>IF(SET!P74="","",SET!X74)</f>
        <v/>
      </c>
      <c r="J76" s="14" t="str">
        <f>IF(SET!P74="","",SET!Y74)</f>
        <v/>
      </c>
      <c r="K76" s="8" t="str">
        <f>IF(SET!P74="","",SUBSTITUTE(SET!AA74,"(Stream)",""))</f>
        <v/>
      </c>
      <c r="L76" s="15" t="str">
        <f>IF(SET!P74="","",SUBSTITUTE(SET!AC74,"(Stream)",""))</f>
        <v/>
      </c>
      <c r="M76" s="16" t="str">
        <f>IF(SET!P74="","",SET!T74)</f>
        <v/>
      </c>
      <c r="N76" s="17" t="str">
        <f>IF(SET!P74="","",SET!S74)</f>
        <v/>
      </c>
      <c r="O76" s="17" t="str">
        <f>IF(SET!P74="","",SET!U74)</f>
        <v/>
      </c>
      <c r="P76" s="19"/>
    </row>
    <row r="77" ht="15.75" customHeight="1">
      <c r="A77" s="7" t="str">
        <f>IF(SET!P75="","",SET!L75)</f>
        <v/>
      </c>
      <c r="B77" s="8" t="str">
        <f>IF(SET!P75="","",TEXT(DATE(SET!O75,SET!N75,SET!M75),"DD/MM/YYYY"))</f>
        <v/>
      </c>
      <c r="C77" s="9" t="str">
        <f>IF(SET!P75="","",SET!P75)</f>
        <v/>
      </c>
      <c r="D77" s="10" t="str">
        <f>IF(SET!P75="","",TEXT(TIME(SET!Q75,SET!R75,0),"HH:MM"))</f>
        <v/>
      </c>
      <c r="E77" s="11" t="str">
        <f>IF(SET!P75="","",IF(SET!T75="iScout","📱",IF(SET!T75="XSA Neo","💻","📞")))</f>
        <v/>
      </c>
      <c r="F77" s="12" t="str">
        <f>IF(SET!P75="","",IFERROR(VLOOKUP(SET!U75,SET!$E$118:$G$161,2,FALSE),"⚽"))</f>
        <v/>
      </c>
      <c r="G77" s="13" t="str">
        <f>IF(SET!P75="","",IFERROR(VLOOKUP(SET!V75,SET!$B$56:$C$270,2,FALSE),"🌍"))</f>
        <v/>
      </c>
      <c r="H77" s="8" t="str">
        <f>IF(SET!P75="","",SET!W75)</f>
        <v/>
      </c>
      <c r="I77" s="14" t="str">
        <f>IF(SET!P75="","",SET!X75)</f>
        <v/>
      </c>
      <c r="J77" s="14" t="str">
        <f>IF(SET!P75="","",SET!Y75)</f>
        <v/>
      </c>
      <c r="K77" s="8" t="str">
        <f>IF(SET!P75="","",SUBSTITUTE(SET!AA75,"(Stream)",""))</f>
        <v/>
      </c>
      <c r="L77" s="15" t="str">
        <f>IF(SET!P75="","",SUBSTITUTE(SET!AC75,"(Stream)",""))</f>
        <v/>
      </c>
      <c r="M77" s="16" t="str">
        <f>IF(SET!P75="","",SET!T75)</f>
        <v/>
      </c>
      <c r="N77" s="17" t="str">
        <f>IF(SET!P75="","",SET!S75)</f>
        <v/>
      </c>
      <c r="O77" s="17" t="str">
        <f>IF(SET!P75="","",SET!U75)</f>
        <v/>
      </c>
      <c r="P77" s="19"/>
    </row>
    <row r="78" ht="15.75" customHeight="1">
      <c r="A78" s="7" t="str">
        <f>IF(SET!P76="","",SET!L76)</f>
        <v/>
      </c>
      <c r="B78" s="8" t="str">
        <f>IF(SET!P76="","",TEXT(DATE(SET!O76,SET!N76,SET!M76),"DD/MM/YYYY"))</f>
        <v/>
      </c>
      <c r="C78" s="9" t="str">
        <f>IF(SET!P76="","",SET!P76)</f>
        <v/>
      </c>
      <c r="D78" s="10" t="str">
        <f>IF(SET!P76="","",TEXT(TIME(SET!Q76,SET!R76,0),"HH:MM"))</f>
        <v/>
      </c>
      <c r="E78" s="11" t="str">
        <f>IF(SET!P76="","",IF(SET!T76="iScout","📱",IF(SET!T76="XSA Neo","💻","📞")))</f>
        <v/>
      </c>
      <c r="F78" s="12" t="str">
        <f>IF(SET!P76="","",IFERROR(VLOOKUP(SET!U76,SET!$E$118:$G$161,2,FALSE),"⚽"))</f>
        <v/>
      </c>
      <c r="G78" s="13" t="str">
        <f>IF(SET!P76="","",IFERROR(VLOOKUP(SET!V76,SET!$B$56:$C$270,2,FALSE),"🌍"))</f>
        <v/>
      </c>
      <c r="H78" s="8" t="str">
        <f>IF(SET!P76="","",SET!W76)</f>
        <v/>
      </c>
      <c r="I78" s="14" t="str">
        <f>IF(SET!P76="","",SET!X76)</f>
        <v/>
      </c>
      <c r="J78" s="14" t="str">
        <f>IF(SET!P76="","",SET!Y76)</f>
        <v/>
      </c>
      <c r="K78" s="8" t="str">
        <f>IF(SET!P76="","",SUBSTITUTE(SET!AA76,"(Stream)",""))</f>
        <v/>
      </c>
      <c r="L78" s="15" t="str">
        <f>IF(SET!P76="","",SUBSTITUTE(SET!AC76,"(Stream)",""))</f>
        <v/>
      </c>
      <c r="M78" s="16" t="str">
        <f>IF(SET!P76="","",SET!T76)</f>
        <v/>
      </c>
      <c r="N78" s="17" t="str">
        <f>IF(SET!P76="","",SET!S76)</f>
        <v/>
      </c>
      <c r="O78" s="17" t="str">
        <f>IF(SET!P76="","",SET!U76)</f>
        <v/>
      </c>
      <c r="P78" s="19"/>
    </row>
    <row r="79" ht="15.75" customHeight="1">
      <c r="A79" s="7" t="str">
        <f>IF(SET!P77="","",SET!L77)</f>
        <v/>
      </c>
      <c r="B79" s="8" t="str">
        <f>IF(SET!P77="","",TEXT(DATE(SET!O77,SET!N77,SET!M77),"DD/MM/YYYY"))</f>
        <v/>
      </c>
      <c r="C79" s="9" t="str">
        <f>IF(SET!P77="","",SET!P77)</f>
        <v/>
      </c>
      <c r="D79" s="10" t="str">
        <f>IF(SET!P77="","",TEXT(TIME(SET!Q77,SET!R77,0),"HH:MM"))</f>
        <v/>
      </c>
      <c r="E79" s="11" t="str">
        <f>IF(SET!P77="","",IF(SET!T77="iScout","📱",IF(SET!T77="XSA Neo","💻","📞")))</f>
        <v/>
      </c>
      <c r="F79" s="12" t="str">
        <f>IF(SET!P77="","",IFERROR(VLOOKUP(SET!U77,SET!$E$118:$G$161,2,FALSE),"⚽"))</f>
        <v/>
      </c>
      <c r="G79" s="13" t="str">
        <f>IF(SET!P77="","",IFERROR(VLOOKUP(SET!V77,SET!$B$56:$C$270,2,FALSE),"🌍"))</f>
        <v/>
      </c>
      <c r="H79" s="8" t="str">
        <f>IF(SET!P77="","",SET!W77)</f>
        <v/>
      </c>
      <c r="I79" s="14" t="str">
        <f>IF(SET!P77="","",SET!X77)</f>
        <v/>
      </c>
      <c r="J79" s="14" t="str">
        <f>IF(SET!P77="","",SET!Y77)</f>
        <v/>
      </c>
      <c r="K79" s="8" t="str">
        <f>IF(SET!P77="","",SUBSTITUTE(SET!AA77,"(Stream)",""))</f>
        <v/>
      </c>
      <c r="L79" s="15" t="str">
        <f>IF(SET!P77="","",SUBSTITUTE(SET!AC77,"(Stream)",""))</f>
        <v/>
      </c>
      <c r="M79" s="16" t="str">
        <f>IF(SET!P77="","",SET!T77)</f>
        <v/>
      </c>
      <c r="N79" s="17" t="str">
        <f>IF(SET!P77="","",SET!S77)</f>
        <v/>
      </c>
      <c r="O79" s="17" t="str">
        <f>IF(SET!P77="","",SET!U77)</f>
        <v/>
      </c>
      <c r="P79" s="19"/>
    </row>
    <row r="80" ht="15.75" customHeight="1">
      <c r="A80" s="7" t="str">
        <f>IF(SET!P78="","",SET!L78)</f>
        <v/>
      </c>
      <c r="B80" s="8" t="str">
        <f>IF(SET!P78="","",TEXT(DATE(SET!O78,SET!N78,SET!M78),"DD/MM/YYYY"))</f>
        <v/>
      </c>
      <c r="C80" s="9" t="str">
        <f>IF(SET!P78="","",SET!P78)</f>
        <v/>
      </c>
      <c r="D80" s="10" t="str">
        <f>IF(SET!P78="","",TEXT(TIME(SET!Q78,SET!R78,0),"HH:MM"))</f>
        <v/>
      </c>
      <c r="E80" s="11" t="str">
        <f>IF(SET!P78="","",IF(SET!T78="iScout","📱",IF(SET!T78="XSA Neo","💻","📞")))</f>
        <v/>
      </c>
      <c r="F80" s="12" t="str">
        <f>IF(SET!P78="","",IFERROR(VLOOKUP(SET!U78,SET!$E$118:$G$161,2,FALSE),"⚽"))</f>
        <v/>
      </c>
      <c r="G80" s="13" t="str">
        <f>IF(SET!P78="","",IFERROR(VLOOKUP(SET!V78,SET!$B$56:$C$270,2,FALSE),"🌍"))</f>
        <v/>
      </c>
      <c r="H80" s="8" t="str">
        <f>IF(SET!P78="","",SET!W78)</f>
        <v/>
      </c>
      <c r="I80" s="14" t="str">
        <f>IF(SET!P78="","",SET!X78)</f>
        <v/>
      </c>
      <c r="J80" s="14" t="str">
        <f>IF(SET!P78="","",SET!Y78)</f>
        <v/>
      </c>
      <c r="K80" s="8" t="str">
        <f>IF(SET!P78="","",SUBSTITUTE(SET!AA78,"(Stream)",""))</f>
        <v/>
      </c>
      <c r="L80" s="15" t="str">
        <f>IF(SET!P78="","",SUBSTITUTE(SET!AC78,"(Stream)",""))</f>
        <v/>
      </c>
      <c r="M80" s="16" t="str">
        <f>IF(SET!P78="","",SET!T78)</f>
        <v/>
      </c>
      <c r="N80" s="17" t="str">
        <f>IF(SET!P78="","",SET!S78)</f>
        <v/>
      </c>
      <c r="O80" s="17" t="str">
        <f>IF(SET!P78="","",SET!U78)</f>
        <v/>
      </c>
      <c r="P80" s="19"/>
    </row>
    <row r="81" ht="15.75" customHeight="1">
      <c r="A81" s="7" t="str">
        <f>IF(SET!P79="","",SET!L79)</f>
        <v/>
      </c>
      <c r="B81" s="8" t="str">
        <f>IF(SET!P79="","",TEXT(DATE(SET!O79,SET!N79,SET!M79),"DD/MM/YYYY"))</f>
        <v/>
      </c>
      <c r="C81" s="9" t="str">
        <f>IF(SET!P79="","",SET!P79)</f>
        <v/>
      </c>
      <c r="D81" s="10" t="str">
        <f>IF(SET!P79="","",TEXT(TIME(SET!Q79,SET!R79,0),"HH:MM"))</f>
        <v/>
      </c>
      <c r="E81" s="11" t="str">
        <f>IF(SET!P79="","",IF(SET!T79="iScout","📱",IF(SET!T79="XSA Neo","💻","📞")))</f>
        <v/>
      </c>
      <c r="F81" s="12" t="str">
        <f>IF(SET!P79="","",IFERROR(VLOOKUP(SET!U79,SET!$E$118:$G$161,2,FALSE),"⚽"))</f>
        <v/>
      </c>
      <c r="G81" s="13" t="str">
        <f>IF(SET!P79="","",IFERROR(VLOOKUP(SET!V79,SET!$B$56:$C$270,2,FALSE),"🌍"))</f>
        <v/>
      </c>
      <c r="H81" s="8" t="str">
        <f>IF(SET!P79="","",SET!W79)</f>
        <v/>
      </c>
      <c r="I81" s="14" t="str">
        <f>IF(SET!P79="","",SET!X79)</f>
        <v/>
      </c>
      <c r="J81" s="14" t="str">
        <f>IF(SET!P79="","",SET!Y79)</f>
        <v/>
      </c>
      <c r="K81" s="8" t="str">
        <f>IF(SET!P79="","",SUBSTITUTE(SET!AA79,"(Stream)",""))</f>
        <v/>
      </c>
      <c r="L81" s="15" t="str">
        <f>IF(SET!P79="","",SUBSTITUTE(SET!AC79,"(Stream)",""))</f>
        <v/>
      </c>
      <c r="M81" s="16" t="str">
        <f>IF(SET!P79="","",SET!T79)</f>
        <v/>
      </c>
      <c r="N81" s="17" t="str">
        <f>IF(SET!P79="","",SET!S79)</f>
        <v/>
      </c>
      <c r="O81" s="17" t="str">
        <f>IF(SET!P79="","",SET!U79)</f>
        <v/>
      </c>
      <c r="P81" s="19"/>
    </row>
    <row r="82" ht="15.75" customHeight="1">
      <c r="A82" s="7" t="str">
        <f>IF(SET!P80="","",SET!L80)</f>
        <v/>
      </c>
      <c r="B82" s="8" t="str">
        <f>IF(SET!P80="","",TEXT(DATE(SET!O80,SET!N80,SET!M80),"DD/MM/YYYY"))</f>
        <v/>
      </c>
      <c r="C82" s="19"/>
      <c r="D82" s="10" t="str">
        <f>IF(SET!P80="","",TEXT(TIME(SET!Q80,SET!R80,0),"HH:MM"))</f>
        <v/>
      </c>
      <c r="E82" s="11" t="str">
        <f>IF(SET!P80="","",IF(SET!T80="iScout","📱",IF(SET!T80="XSA Neo","💻","📞")))</f>
        <v/>
      </c>
      <c r="F82" s="12" t="str">
        <f>IF(SET!P80="","",IFERROR(VLOOKUP(SET!U80,SET!$E$118:$G$161,2,FALSE),"⚽"))</f>
        <v/>
      </c>
      <c r="G82" s="13" t="str">
        <f>IF(SET!P80="","",IFERROR(VLOOKUP(SET!V80,SET!$B$56:$C$270,2,FALSE),"🌍"))</f>
        <v/>
      </c>
      <c r="H82" s="8" t="str">
        <f>IF(SET!P80="","",SET!W80)</f>
        <v/>
      </c>
      <c r="I82" s="14" t="str">
        <f>IF(SET!P80="","",SET!X80)</f>
        <v/>
      </c>
      <c r="J82" s="14" t="str">
        <f>IF(SET!P80="","",SET!Y80)</f>
        <v/>
      </c>
      <c r="K82" s="8" t="str">
        <f>IF(SET!P80="","",SUBSTITUTE(SET!AA80,"(Stream)",""))</f>
        <v/>
      </c>
      <c r="L82" s="15" t="str">
        <f>IF(SET!P80="","",SUBSTITUTE(SET!AC80,"(Stream)",""))</f>
        <v/>
      </c>
      <c r="M82" s="16" t="str">
        <f>IF(SET!P80="","",SET!T80)</f>
        <v/>
      </c>
      <c r="N82" s="17" t="str">
        <f>IF(SET!P80="","",SET!S80)</f>
        <v/>
      </c>
      <c r="O82" s="17" t="str">
        <f>IF(SET!P80="","",SET!U80)</f>
        <v/>
      </c>
      <c r="P82" s="19"/>
    </row>
    <row r="83" ht="15.75" customHeight="1">
      <c r="A83" s="7" t="str">
        <f>IF(SET!P81="","",SET!L81)</f>
        <v/>
      </c>
      <c r="B83" s="8" t="str">
        <f>IF(SET!P81="","",TEXT(DATE(SET!O81,SET!N81,SET!M81),"DD/MM/YYYY"))</f>
        <v/>
      </c>
      <c r="C83" s="19"/>
      <c r="D83" s="10" t="str">
        <f>IF(SET!P81="","",TEXT(TIME(SET!Q81,SET!R81,0),"HH:MM"))</f>
        <v/>
      </c>
      <c r="E83" s="11" t="str">
        <f>IF(SET!P81="","",IF(SET!T81="iScout","📱",IF(SET!T81="XSA Neo","💻","📞")))</f>
        <v/>
      </c>
      <c r="F83" s="12" t="str">
        <f>IF(SET!P81="","",IFERROR(VLOOKUP(SET!U81,SET!$E$118:$G$161,2,FALSE),"⚽"))</f>
        <v/>
      </c>
      <c r="G83" s="13" t="str">
        <f>IF(SET!P81="","",IFERROR(VLOOKUP(SET!V81,SET!$B$56:$C$270,2,FALSE),"🌍"))</f>
        <v/>
      </c>
      <c r="H83" s="8" t="str">
        <f>IF(SET!P81="","",SET!W81)</f>
        <v/>
      </c>
      <c r="I83" s="14" t="str">
        <f>IF(SET!P81="","",SET!X81)</f>
        <v/>
      </c>
      <c r="J83" s="14" t="str">
        <f>IF(SET!P81="","",SET!Y81)</f>
        <v/>
      </c>
      <c r="K83" s="8" t="str">
        <f>IF(SET!P81="","",SUBSTITUTE(SET!AA81,"(Stream)",""))</f>
        <v/>
      </c>
      <c r="L83" s="15" t="str">
        <f>IF(SET!P81="","",SUBSTITUTE(SET!AC81,"(Stream)",""))</f>
        <v/>
      </c>
      <c r="M83" s="16" t="str">
        <f>IF(SET!P81="","",SET!T81)</f>
        <v/>
      </c>
      <c r="N83" s="17" t="str">
        <f>IF(SET!P81="","",SET!S81)</f>
        <v/>
      </c>
      <c r="O83" s="17" t="str">
        <f>IF(SET!P81="","",SET!U81)</f>
        <v/>
      </c>
      <c r="P83" s="19"/>
    </row>
    <row r="84" ht="15.75" customHeight="1">
      <c r="A84" s="7" t="str">
        <f>IF(SET!P82="","",SET!L82)</f>
        <v/>
      </c>
      <c r="B84" s="19"/>
      <c r="C84" s="19"/>
      <c r="D84" s="20"/>
      <c r="E84" s="21" t="str">
        <f>IF(SET!A135="","",IF(SET!I135="iScout","📱",IF(SET!I135="XSA Neo","💻","📡")))</f>
        <v/>
      </c>
      <c r="F84" s="22"/>
      <c r="G84" s="23"/>
      <c r="H84" s="24"/>
      <c r="I84" s="19"/>
      <c r="J84" s="25"/>
      <c r="K84" s="26"/>
      <c r="L84" s="24"/>
      <c r="M84" s="19"/>
      <c r="N84" s="19"/>
      <c r="O84" s="19"/>
      <c r="P84" s="19"/>
    </row>
    <row r="85" ht="15.75" customHeight="1">
      <c r="A85" s="7" t="str">
        <f>IF(SET!P83="","",SET!L83)</f>
        <v/>
      </c>
      <c r="B85" s="19"/>
      <c r="C85" s="19"/>
      <c r="D85" s="20"/>
      <c r="E85" s="21" t="str">
        <f>IF(SET!A136="","",IF(SET!I136="iScout","📱",IF(SET!I136="XSA Neo","💻","📡")))</f>
        <v/>
      </c>
      <c r="F85" s="22"/>
      <c r="G85" s="23"/>
      <c r="H85" s="24"/>
      <c r="I85" s="19"/>
      <c r="J85" s="25"/>
      <c r="K85" s="26"/>
      <c r="L85" s="24"/>
      <c r="M85" s="19"/>
      <c r="N85" s="19"/>
      <c r="O85" s="19"/>
      <c r="P85" s="19"/>
    </row>
    <row r="86" ht="15.75" customHeight="1">
      <c r="A86" s="7" t="str">
        <f>IF(SET!P84="","",SET!L84)</f>
        <v/>
      </c>
      <c r="B86" s="19"/>
      <c r="C86" s="19"/>
      <c r="D86" s="20"/>
      <c r="E86" s="21" t="str">
        <f>IF(SET!A137="","",IF(SET!I137="iScout","📱",IF(SET!I137="XSA Neo","💻","📡")))</f>
        <v/>
      </c>
      <c r="F86" s="22"/>
      <c r="G86" s="23"/>
      <c r="H86" s="24"/>
      <c r="I86" s="19"/>
      <c r="J86" s="25"/>
      <c r="K86" s="26"/>
      <c r="L86" s="24"/>
      <c r="M86" s="19"/>
      <c r="N86" s="19"/>
      <c r="O86" s="19"/>
      <c r="P86" s="19"/>
    </row>
    <row r="87" ht="15.75" customHeight="1">
      <c r="A87" s="7" t="str">
        <f>IF(SET!P85="","",SET!L85)</f>
        <v/>
      </c>
      <c r="B87" s="19"/>
      <c r="C87" s="19"/>
      <c r="D87" s="20"/>
      <c r="E87" s="21" t="str">
        <f>IF(SET!A138="","",IF(SET!I138="iScout","📱",IF(SET!I138="XSA Neo","💻","📡")))</f>
        <v/>
      </c>
      <c r="F87" s="22"/>
      <c r="G87" s="23"/>
      <c r="H87" s="24"/>
      <c r="I87" s="19"/>
      <c r="J87" s="25"/>
      <c r="K87" s="26"/>
      <c r="L87" s="24"/>
      <c r="M87" s="19"/>
      <c r="N87" s="19"/>
      <c r="O87" s="19"/>
      <c r="P87" s="19"/>
    </row>
    <row r="88" ht="15.75" customHeight="1">
      <c r="A88" s="7" t="str">
        <f>IF(SET!P86="","",SET!L86)</f>
        <v/>
      </c>
      <c r="B88" s="19"/>
      <c r="C88" s="19"/>
      <c r="D88" s="20"/>
      <c r="E88" s="21" t="str">
        <f>IF(SET!A139="","",IF(SET!I139="iScout","📱",IF(SET!I139="XSA Neo","💻","📡")))</f>
        <v/>
      </c>
      <c r="F88" s="22"/>
      <c r="G88" s="23"/>
      <c r="H88" s="24"/>
      <c r="I88" s="19"/>
      <c r="J88" s="25"/>
      <c r="K88" s="26"/>
      <c r="L88" s="24"/>
      <c r="M88" s="19"/>
      <c r="N88" s="19"/>
      <c r="O88" s="19"/>
      <c r="P88" s="19"/>
    </row>
    <row r="89" ht="15.75" customHeight="1">
      <c r="A89" s="7" t="str">
        <f>IF(SET!P87="","",SET!L87)</f>
        <v/>
      </c>
      <c r="B89" s="19"/>
      <c r="C89" s="19"/>
      <c r="D89" s="20"/>
      <c r="E89" s="21" t="str">
        <f>IF(SET!A140="","",IF(SET!I140="iScout","📱",IF(SET!I140="XSA Neo","💻","📡")))</f>
        <v/>
      </c>
      <c r="F89" s="22"/>
      <c r="G89" s="23"/>
      <c r="H89" s="24"/>
      <c r="I89" s="19"/>
      <c r="J89" s="25"/>
      <c r="K89" s="26"/>
      <c r="L89" s="24"/>
      <c r="M89" s="19"/>
      <c r="N89" s="19"/>
      <c r="O89" s="19"/>
      <c r="P89" s="19"/>
    </row>
    <row r="90" ht="15.75" customHeight="1">
      <c r="A90" s="7" t="str">
        <f>IF(SET!P88="","",SET!L88)</f>
        <v/>
      </c>
      <c r="B90" s="19"/>
      <c r="C90" s="19"/>
      <c r="D90" s="20"/>
      <c r="E90" s="21" t="str">
        <f>IF(SET!A141="","",IF(SET!I141="iScout","📱",IF(SET!I141="XSA Neo","💻","📡")))</f>
        <v/>
      </c>
      <c r="F90" s="22"/>
      <c r="G90" s="23"/>
      <c r="H90" s="24"/>
      <c r="I90" s="19"/>
      <c r="J90" s="25"/>
      <c r="K90" s="26"/>
      <c r="L90" s="24"/>
      <c r="M90" s="19"/>
      <c r="N90" s="19"/>
      <c r="O90" s="19"/>
      <c r="P90" s="19"/>
    </row>
    <row r="91" ht="15.75" customHeight="1">
      <c r="A91" s="7" t="str">
        <f>IF(SET!P89="","",SET!L89)</f>
        <v/>
      </c>
      <c r="B91" s="19"/>
      <c r="C91" s="19"/>
      <c r="D91" s="20"/>
      <c r="E91" s="21" t="str">
        <f>IF(SET!A142="","",IF(SET!I142="iScout","📱",IF(SET!I142="XSA Neo","💻","📡")))</f>
        <v/>
      </c>
      <c r="F91" s="22"/>
      <c r="G91" s="23"/>
      <c r="H91" s="24"/>
      <c r="I91" s="19"/>
      <c r="J91" s="25"/>
      <c r="K91" s="26"/>
      <c r="L91" s="24"/>
      <c r="M91" s="19"/>
      <c r="N91" s="19"/>
      <c r="O91" s="19"/>
      <c r="P91" s="19"/>
    </row>
    <row r="92" ht="15.75" customHeight="1">
      <c r="A92" s="7" t="str">
        <f>IF(SET!P90="","",SET!L90)</f>
        <v/>
      </c>
      <c r="B92" s="19"/>
      <c r="C92" s="19"/>
      <c r="D92" s="20"/>
      <c r="E92" s="21" t="str">
        <f>IF(SET!A143="","",IF(SET!I143="iScout","📱",IF(SET!I143="XSA Neo","💻","📡")))</f>
        <v/>
      </c>
      <c r="F92" s="22"/>
      <c r="G92" s="23"/>
      <c r="H92" s="24"/>
      <c r="I92" s="19"/>
      <c r="J92" s="25"/>
      <c r="K92" s="26"/>
      <c r="L92" s="24"/>
      <c r="M92" s="19"/>
      <c r="N92" s="19"/>
      <c r="O92" s="19"/>
      <c r="P92" s="19"/>
    </row>
    <row r="93" ht="15.75" customHeight="1">
      <c r="A93" s="7" t="str">
        <f>IF(SET!P91="","",SET!L91)</f>
        <v/>
      </c>
      <c r="B93" s="19"/>
      <c r="C93" s="19"/>
      <c r="D93" s="20"/>
      <c r="E93" s="21" t="str">
        <f>IF(SET!A144="","",IF(SET!I144="iScout","📱",IF(SET!I144="XSA Neo","💻","📡")))</f>
        <v/>
      </c>
      <c r="F93" s="22"/>
      <c r="G93" s="23"/>
      <c r="H93" s="24"/>
      <c r="I93" s="19"/>
      <c r="J93" s="25"/>
      <c r="K93" s="26"/>
      <c r="L93" s="24"/>
      <c r="M93" s="19"/>
      <c r="N93" s="19"/>
      <c r="O93" s="19"/>
      <c r="P93" s="19"/>
    </row>
    <row r="94" ht="15.75" customHeight="1">
      <c r="A94" s="7" t="str">
        <f>IF(SET!P92="","",SET!L92)</f>
        <v/>
      </c>
      <c r="B94" s="19"/>
      <c r="C94" s="19"/>
      <c r="D94" s="20"/>
      <c r="E94" s="21" t="str">
        <f>IF(SET!A145="","",IF(SET!I145="iScout","📱",IF(SET!I145="XSA Neo","💻","📡")))</f>
        <v/>
      </c>
      <c r="F94" s="22"/>
      <c r="G94" s="23"/>
      <c r="H94" s="24"/>
      <c r="I94" s="19"/>
      <c r="J94" s="25"/>
      <c r="K94" s="26"/>
      <c r="L94" s="24"/>
      <c r="M94" s="19"/>
      <c r="N94" s="19"/>
      <c r="O94" s="19"/>
      <c r="P94" s="19"/>
    </row>
    <row r="95" ht="15.75" customHeight="1">
      <c r="A95" s="7" t="str">
        <f>IF(SET!P93="","",SET!L93)</f>
        <v/>
      </c>
      <c r="B95" s="19"/>
      <c r="C95" s="19"/>
      <c r="D95" s="20"/>
      <c r="E95" s="21" t="str">
        <f>IF(SET!A146="","",IF(SET!I146="iScout","📱",IF(SET!I146="XSA Neo","💻","📡")))</f>
        <v/>
      </c>
      <c r="F95" s="22"/>
      <c r="G95" s="23"/>
      <c r="H95" s="24"/>
      <c r="I95" s="19"/>
      <c r="J95" s="25"/>
      <c r="K95" s="26"/>
      <c r="L95" s="24"/>
      <c r="M95" s="19"/>
      <c r="N95" s="19"/>
      <c r="O95" s="19"/>
      <c r="P95" s="19"/>
    </row>
    <row r="96" ht="15.75" customHeight="1">
      <c r="A96" s="7" t="str">
        <f>IF(SET!P94="","",SET!L94)</f>
        <v/>
      </c>
      <c r="B96" s="19"/>
      <c r="C96" s="19"/>
      <c r="D96" s="20"/>
      <c r="E96" s="21" t="str">
        <f>IF(SET!A147="","",IF(SET!I147="iScout","📱",IF(SET!I147="XSA Neo","💻","📡")))</f>
        <v/>
      </c>
      <c r="F96" s="22"/>
      <c r="G96" s="23"/>
      <c r="H96" s="24"/>
      <c r="I96" s="19"/>
      <c r="J96" s="25"/>
      <c r="K96" s="26"/>
      <c r="L96" s="24"/>
      <c r="M96" s="19"/>
      <c r="N96" s="19"/>
      <c r="O96" s="19"/>
      <c r="P96" s="19"/>
    </row>
    <row r="97" ht="15.75" customHeight="1">
      <c r="A97" s="7" t="str">
        <f>IF(SET!P95="","",SET!L95)</f>
        <v/>
      </c>
      <c r="B97" s="19"/>
      <c r="C97" s="19"/>
      <c r="D97" s="20"/>
      <c r="E97" s="21" t="str">
        <f>IF(SET!A148="","",IF(SET!I148="iScout","📱",IF(SET!I148="XSA Neo","💻","📡")))</f>
        <v/>
      </c>
      <c r="F97" s="22"/>
      <c r="G97" s="23"/>
      <c r="H97" s="24"/>
      <c r="I97" s="19"/>
      <c r="J97" s="25"/>
      <c r="K97" s="26"/>
      <c r="L97" s="24"/>
      <c r="M97" s="19"/>
      <c r="N97" s="19"/>
      <c r="O97" s="19"/>
      <c r="P97" s="19"/>
    </row>
    <row r="98" ht="15.75" customHeight="1">
      <c r="A98" s="7" t="str">
        <f>IF(SET!P96="","",SET!L96)</f>
        <v/>
      </c>
      <c r="B98" s="19"/>
      <c r="C98" s="19"/>
      <c r="D98" s="20"/>
      <c r="E98" s="21" t="str">
        <f>IF(SET!A149="","",IF(SET!I149="iScout","📱",IF(SET!I149="XSA Neo","💻","📡")))</f>
        <v/>
      </c>
      <c r="F98" s="22"/>
      <c r="G98" s="23"/>
      <c r="H98" s="24"/>
      <c r="I98" s="19"/>
      <c r="J98" s="25"/>
      <c r="K98" s="26"/>
      <c r="L98" s="24"/>
      <c r="M98" s="19"/>
      <c r="N98" s="19"/>
      <c r="O98" s="19"/>
      <c r="P98" s="19"/>
    </row>
    <row r="99" ht="15.75" customHeight="1">
      <c r="A99" s="7" t="str">
        <f>IF(SET!P97="","",SET!L97)</f>
        <v/>
      </c>
      <c r="B99" s="19"/>
      <c r="C99" s="19"/>
      <c r="D99" s="20"/>
      <c r="E99" s="21" t="str">
        <f>IF(SET!A150="","",IF(SET!I150="iScout","📱",IF(SET!I150="XSA Neo","💻","📡")))</f>
        <v/>
      </c>
      <c r="F99" s="22"/>
      <c r="G99" s="23"/>
      <c r="H99" s="24"/>
      <c r="I99" s="19"/>
      <c r="J99" s="25"/>
      <c r="K99" s="26"/>
      <c r="L99" s="24"/>
      <c r="M99" s="19"/>
      <c r="N99" s="19"/>
      <c r="O99" s="19"/>
      <c r="P99" s="19"/>
    </row>
    <row r="100" ht="15.75" customHeight="1">
      <c r="A100" s="7" t="str">
        <f>IF(SET!P98="","",SET!L98)</f>
        <v/>
      </c>
      <c r="B100" s="19"/>
      <c r="C100" s="19"/>
      <c r="D100" s="20"/>
      <c r="E100" s="21" t="str">
        <f>IF(SET!A151="","",IF(SET!I151="iScout","📱",IF(SET!I151="XSA Neo","💻","📡")))</f>
        <v/>
      </c>
      <c r="F100" s="22"/>
      <c r="G100" s="23"/>
      <c r="H100" s="24"/>
      <c r="I100" s="19"/>
      <c r="J100" s="25"/>
      <c r="K100" s="26"/>
      <c r="L100" s="24"/>
      <c r="M100" s="19"/>
      <c r="N100" s="19"/>
      <c r="O100" s="19"/>
      <c r="P100" s="19"/>
    </row>
    <row r="101" ht="15.75" customHeight="1">
      <c r="A101" s="7" t="str">
        <f>IF(SET!P99="","",SET!L99)</f>
        <v/>
      </c>
      <c r="B101" s="19"/>
      <c r="C101" s="19"/>
      <c r="D101" s="20"/>
      <c r="E101" s="21" t="str">
        <f>IF(SET!A152="","",IF(SET!I152="iScout","📱",IF(SET!I152="XSA Neo","💻","📡")))</f>
        <v/>
      </c>
      <c r="F101" s="22"/>
      <c r="G101" s="23"/>
      <c r="H101" s="24"/>
      <c r="I101" s="19"/>
      <c r="J101" s="25"/>
      <c r="K101" s="26"/>
      <c r="L101" s="24"/>
      <c r="M101" s="19"/>
      <c r="N101" s="19"/>
      <c r="O101" s="19"/>
      <c r="P101" s="19"/>
    </row>
    <row r="102" ht="15.75" customHeight="1">
      <c r="A102" s="7" t="str">
        <f>IF(SET!P100="","",SET!L100)</f>
        <v/>
      </c>
      <c r="B102" s="19"/>
      <c r="C102" s="19"/>
      <c r="D102" s="20"/>
      <c r="E102" s="21" t="str">
        <f>IF(SET!A153="","",IF(SET!I153="iScout","📱",IF(SET!I153="XSA Neo","💻","📡")))</f>
        <v/>
      </c>
      <c r="F102" s="22"/>
      <c r="G102" s="23"/>
      <c r="H102" s="24"/>
      <c r="I102" s="19"/>
      <c r="J102" s="25"/>
      <c r="K102" s="26"/>
      <c r="L102" s="24"/>
      <c r="M102" s="19"/>
      <c r="N102" s="19"/>
      <c r="O102" s="19"/>
      <c r="P102" s="19"/>
    </row>
    <row r="103" ht="15.75" customHeight="1">
      <c r="A103" s="7" t="str">
        <f>IF(SET!P101="","",SET!L101)</f>
        <v/>
      </c>
      <c r="B103" s="19"/>
      <c r="C103" s="19"/>
      <c r="D103" s="20"/>
      <c r="E103" s="21" t="str">
        <f>IF(SET!A154="","",IF(SET!I154="iScout","📱",IF(SET!I154="XSA Neo","💻","📡")))</f>
        <v/>
      </c>
      <c r="F103" s="22"/>
      <c r="G103" s="23"/>
      <c r="H103" s="24"/>
      <c r="I103" s="19"/>
      <c r="J103" s="25"/>
      <c r="K103" s="26"/>
      <c r="L103" s="24"/>
      <c r="M103" s="19"/>
      <c r="N103" s="19"/>
      <c r="O103" s="19"/>
      <c r="P103" s="19"/>
    </row>
    <row r="104" ht="15.75" customHeight="1">
      <c r="A104" s="7" t="str">
        <f>IF(SET!P102="","",SET!L102)</f>
        <v/>
      </c>
      <c r="B104" s="19"/>
      <c r="C104" s="19"/>
      <c r="D104" s="20"/>
      <c r="E104" s="21" t="str">
        <f>IF(SET!A155="","",IF(SET!I155="iScout","📱",IF(SET!I155="XSA Neo","💻","📡")))</f>
        <v/>
      </c>
      <c r="F104" s="22"/>
      <c r="G104" s="23"/>
      <c r="H104" s="24"/>
      <c r="I104" s="19"/>
      <c r="J104" s="25"/>
      <c r="K104" s="26"/>
      <c r="L104" s="24"/>
      <c r="M104" s="19"/>
      <c r="N104" s="19"/>
      <c r="O104" s="19"/>
      <c r="P104" s="19"/>
    </row>
    <row r="105" ht="15.75" customHeight="1">
      <c r="A105" s="7" t="str">
        <f>IF(SET!P103="","",SET!L103)</f>
        <v/>
      </c>
      <c r="B105" s="19"/>
      <c r="C105" s="19"/>
      <c r="D105" s="20"/>
      <c r="E105" s="21" t="str">
        <f>IF(SET!A156="","",IF(SET!I156="iScout","📱",IF(SET!I156="XSA Neo","💻","📡")))</f>
        <v/>
      </c>
      <c r="F105" s="22"/>
      <c r="G105" s="23"/>
      <c r="H105" s="24"/>
      <c r="I105" s="19"/>
      <c r="J105" s="25"/>
      <c r="K105" s="26"/>
      <c r="L105" s="24"/>
      <c r="M105" s="19"/>
      <c r="N105" s="19"/>
      <c r="O105" s="19"/>
      <c r="P105" s="19"/>
    </row>
    <row r="106" ht="15.75" customHeight="1">
      <c r="A106" s="7" t="str">
        <f>IF(SET!P104="","",SET!L104)</f>
        <v/>
      </c>
      <c r="B106" s="19"/>
      <c r="C106" s="19"/>
      <c r="D106" s="20"/>
      <c r="E106" s="21" t="str">
        <f>IF(SET!A157="","",IF(SET!I157="iScout","📱",IF(SET!I157="XSA Neo","💻","📡")))</f>
        <v/>
      </c>
      <c r="F106" s="22"/>
      <c r="G106" s="23"/>
      <c r="H106" s="24"/>
      <c r="I106" s="19"/>
      <c r="J106" s="25"/>
      <c r="K106" s="26"/>
      <c r="L106" s="24"/>
      <c r="M106" s="19"/>
      <c r="N106" s="19"/>
      <c r="O106" s="19"/>
      <c r="P106" s="19"/>
    </row>
    <row r="107" ht="15.75" customHeight="1">
      <c r="A107" s="7" t="str">
        <f>IF(SET!P105="","",SET!L105)</f>
        <v/>
      </c>
      <c r="B107" s="19"/>
      <c r="C107" s="19"/>
      <c r="D107" s="20"/>
      <c r="E107" s="21" t="str">
        <f>IF(SET!A158="","",IF(SET!I158="iScout","📱",IF(SET!I158="XSA Neo","💻","📡")))</f>
        <v/>
      </c>
      <c r="F107" s="22"/>
      <c r="G107" s="23"/>
      <c r="H107" s="24"/>
      <c r="I107" s="19"/>
      <c r="J107" s="25"/>
      <c r="K107" s="26"/>
      <c r="L107" s="24"/>
      <c r="M107" s="19"/>
      <c r="N107" s="19"/>
      <c r="O107" s="19"/>
      <c r="P107" s="19"/>
    </row>
    <row r="108" ht="15.75" customHeight="1">
      <c r="A108" s="7" t="str">
        <f>IF(SET!P106="","",SET!L106)</f>
        <v/>
      </c>
      <c r="B108" s="19"/>
      <c r="C108" s="19"/>
      <c r="D108" s="20"/>
      <c r="E108" s="21" t="str">
        <f>IF(SET!A159="","",IF(SET!I159="iScout","📱",IF(SET!I159="XSA Neo","💻","📡")))</f>
        <v/>
      </c>
      <c r="F108" s="22"/>
      <c r="G108" s="23"/>
      <c r="H108" s="24"/>
      <c r="I108" s="19"/>
      <c r="J108" s="25"/>
      <c r="K108" s="26"/>
      <c r="L108" s="24"/>
      <c r="M108" s="19"/>
      <c r="N108" s="19"/>
      <c r="O108" s="19"/>
      <c r="P108" s="19"/>
    </row>
    <row r="109" ht="15.75" customHeight="1">
      <c r="A109" s="27"/>
      <c r="B109" s="19"/>
      <c r="C109" s="19"/>
      <c r="D109" s="20"/>
      <c r="E109" s="21" t="str">
        <f>IF(SET!A160="","",IF(SET!I160="iScout","📱",IF(SET!I160="XSA Neo","💻","📡")))</f>
        <v/>
      </c>
      <c r="F109" s="22"/>
      <c r="G109" s="23"/>
      <c r="H109" s="24"/>
      <c r="I109" s="19"/>
      <c r="J109" s="25"/>
      <c r="K109" s="26"/>
      <c r="L109" s="24"/>
      <c r="M109" s="19"/>
      <c r="N109" s="19"/>
      <c r="O109" s="19"/>
      <c r="P109" s="19"/>
    </row>
    <row r="110" ht="15.75" customHeight="1">
      <c r="A110" s="27"/>
      <c r="B110" s="19"/>
      <c r="C110" s="19"/>
      <c r="D110" s="20"/>
      <c r="E110" s="21" t="str">
        <f>IF(SET!A161="","",IF(SET!I161="iScout","📱",IF(SET!I161="XSA Neo","💻","📡")))</f>
        <v/>
      </c>
      <c r="F110" s="22"/>
      <c r="G110" s="23"/>
      <c r="H110" s="24"/>
      <c r="I110" s="19"/>
      <c r="J110" s="25"/>
      <c r="K110" s="26"/>
      <c r="L110" s="24"/>
      <c r="M110" s="19"/>
      <c r="N110" s="19"/>
      <c r="O110" s="19"/>
      <c r="P110" s="19"/>
    </row>
    <row r="111" ht="15.75" customHeight="1">
      <c r="A111" s="27"/>
      <c r="B111" s="19"/>
      <c r="C111" s="19"/>
      <c r="D111" s="20"/>
      <c r="E111" s="21" t="str">
        <f>IF(SET!A162="","",IF(SET!I162="iScout","📱",IF(SET!I162="XSA Neo","💻","📡")))</f>
        <v/>
      </c>
      <c r="F111" s="22"/>
      <c r="G111" s="23"/>
      <c r="H111" s="24"/>
      <c r="I111" s="19"/>
      <c r="J111" s="25"/>
      <c r="K111" s="26"/>
      <c r="L111" s="24"/>
      <c r="M111" s="19"/>
      <c r="N111" s="19"/>
      <c r="O111" s="19"/>
      <c r="P111" s="19"/>
    </row>
    <row r="112" ht="15.75" customHeight="1">
      <c r="A112" s="27"/>
      <c r="B112" s="19"/>
      <c r="C112" s="19"/>
      <c r="D112" s="20"/>
      <c r="E112" s="21" t="str">
        <f>IF(SET!A163="","",IF(SET!I163="iScout","📱",IF(SET!I163="XSA Neo","💻","📡")))</f>
        <v/>
      </c>
      <c r="F112" s="22"/>
      <c r="G112" s="23"/>
      <c r="H112" s="24"/>
      <c r="I112" s="19"/>
      <c r="J112" s="25"/>
      <c r="K112" s="26"/>
      <c r="L112" s="24"/>
      <c r="M112" s="19"/>
      <c r="N112" s="19"/>
      <c r="O112" s="19"/>
      <c r="P112" s="19"/>
    </row>
    <row r="113" ht="15.75" customHeight="1">
      <c r="A113" s="27"/>
      <c r="B113" s="19"/>
      <c r="C113" s="19"/>
      <c r="D113" s="20"/>
      <c r="E113" s="21" t="str">
        <f>IF(SET!A164="","",IF(SET!I164="iScout","📱",IF(SET!I164="XSA Neo","💻","📡")))</f>
        <v/>
      </c>
      <c r="F113" s="22"/>
      <c r="G113" s="23"/>
      <c r="H113" s="24"/>
      <c r="I113" s="19"/>
      <c r="J113" s="25"/>
      <c r="K113" s="26"/>
      <c r="L113" s="24"/>
      <c r="M113" s="19"/>
      <c r="N113" s="19"/>
      <c r="O113" s="19"/>
      <c r="P113" s="19"/>
    </row>
    <row r="114" ht="15.75" customHeight="1">
      <c r="A114" s="27"/>
      <c r="B114" s="19"/>
      <c r="C114" s="19"/>
      <c r="D114" s="20"/>
      <c r="E114" s="21" t="str">
        <f>IF(SET!A165="","",IF(SET!I165="iScout","📱",IF(SET!I165="XSA Neo","💻","📡")))</f>
        <v/>
      </c>
      <c r="F114" s="22"/>
      <c r="G114" s="23"/>
      <c r="H114" s="24"/>
      <c r="I114" s="19"/>
      <c r="J114" s="25"/>
      <c r="K114" s="26"/>
      <c r="L114" s="24"/>
      <c r="M114" s="19"/>
      <c r="N114" s="19"/>
      <c r="O114" s="19"/>
      <c r="P114" s="19"/>
    </row>
    <row r="115" ht="15.75" customHeight="1">
      <c r="A115" s="27"/>
      <c r="B115" s="19"/>
      <c r="C115" s="19"/>
      <c r="D115" s="20"/>
      <c r="E115" s="21" t="str">
        <f>IF(SET!A166="","",IF(SET!I166="iScout","📱",IF(SET!I166="XSA Neo","💻","📡")))</f>
        <v/>
      </c>
      <c r="F115" s="22"/>
      <c r="G115" s="23"/>
      <c r="H115" s="24"/>
      <c r="I115" s="19"/>
      <c r="J115" s="25"/>
      <c r="K115" s="26"/>
      <c r="L115" s="24"/>
      <c r="M115" s="19"/>
      <c r="N115" s="19"/>
      <c r="O115" s="19"/>
      <c r="P115" s="19"/>
    </row>
    <row r="116" ht="15.75" customHeight="1">
      <c r="A116" s="27"/>
      <c r="B116" s="19"/>
      <c r="C116" s="19"/>
      <c r="D116" s="20"/>
      <c r="E116" s="21" t="str">
        <f>IF(SET!A167="","",IF(SET!I167="iScout","📱",IF(SET!I167="XSA Neo","💻","📡")))</f>
        <v/>
      </c>
      <c r="F116" s="22"/>
      <c r="G116" s="23"/>
      <c r="H116" s="24"/>
      <c r="I116" s="19"/>
      <c r="J116" s="25"/>
      <c r="K116" s="26"/>
      <c r="L116" s="24"/>
      <c r="M116" s="19"/>
      <c r="N116" s="19"/>
      <c r="O116" s="19"/>
      <c r="P116" s="19"/>
    </row>
    <row r="117" ht="15.75" customHeight="1">
      <c r="A117" s="27"/>
      <c r="B117" s="19"/>
      <c r="C117" s="19"/>
      <c r="D117" s="20"/>
      <c r="E117" s="21" t="str">
        <f>IF(SET!A168="","",IF(SET!I168="iScout","📱",IF(SET!I168="XSA Neo","💻","📡")))</f>
        <v/>
      </c>
      <c r="F117" s="22"/>
      <c r="G117" s="23"/>
      <c r="H117" s="24"/>
      <c r="I117" s="19"/>
      <c r="J117" s="25"/>
      <c r="K117" s="26"/>
      <c r="L117" s="24"/>
      <c r="M117" s="19"/>
      <c r="N117" s="19"/>
      <c r="O117" s="19"/>
      <c r="P117" s="19"/>
    </row>
    <row r="118" ht="15.75" customHeight="1">
      <c r="A118" s="27"/>
      <c r="B118" s="19"/>
      <c r="C118" s="19"/>
      <c r="D118" s="20"/>
      <c r="E118" s="21" t="str">
        <f>IF(SET!A169="","",IF(SET!I169="iScout","📱",IF(SET!I169="XSA Neo","💻","📡")))</f>
        <v/>
      </c>
      <c r="F118" s="22"/>
      <c r="G118" s="23"/>
      <c r="H118" s="24"/>
      <c r="I118" s="19"/>
      <c r="J118" s="25"/>
      <c r="K118" s="26"/>
      <c r="L118" s="24"/>
      <c r="M118" s="19"/>
      <c r="N118" s="19"/>
      <c r="O118" s="19"/>
      <c r="P118" s="19"/>
    </row>
    <row r="119" ht="15.75" customHeight="1">
      <c r="A119" s="27"/>
      <c r="B119" s="19"/>
      <c r="C119" s="19"/>
      <c r="D119" s="20"/>
      <c r="E119" s="21" t="str">
        <f>IF(SET!A170="","",IF(SET!I170="iScout","📱",IF(SET!I170="XSA Neo","💻","📡")))</f>
        <v/>
      </c>
      <c r="F119" s="22"/>
      <c r="G119" s="23"/>
      <c r="H119" s="24"/>
      <c r="I119" s="19"/>
      <c r="J119" s="25"/>
      <c r="K119" s="26"/>
      <c r="L119" s="24"/>
      <c r="M119" s="19"/>
      <c r="N119" s="19"/>
      <c r="O119" s="19"/>
      <c r="P119" s="19"/>
    </row>
    <row r="120" ht="15.75" customHeight="1">
      <c r="A120" s="27"/>
      <c r="B120" s="19"/>
      <c r="C120" s="19"/>
      <c r="D120" s="20"/>
      <c r="E120" s="21" t="str">
        <f>IF(SET!A171="","",IF(SET!I171="iScout","📱",IF(SET!I171="XSA Neo","💻","📡")))</f>
        <v/>
      </c>
      <c r="F120" s="22"/>
      <c r="G120" s="23"/>
      <c r="H120" s="24"/>
      <c r="I120" s="19"/>
      <c r="J120" s="25"/>
      <c r="K120" s="26"/>
      <c r="L120" s="24"/>
      <c r="M120" s="19"/>
      <c r="N120" s="19"/>
      <c r="O120" s="19"/>
      <c r="P120" s="19"/>
    </row>
    <row r="121" ht="15.75" customHeight="1">
      <c r="A121" s="27"/>
      <c r="B121" s="19"/>
      <c r="C121" s="19"/>
      <c r="D121" s="20"/>
      <c r="E121" s="21" t="str">
        <f>IF(SET!A172="","",IF(SET!I172="iScout","📱",IF(SET!I172="XSA Neo","💻","📡")))</f>
        <v/>
      </c>
      <c r="F121" s="22"/>
      <c r="G121" s="23"/>
      <c r="H121" s="24"/>
      <c r="I121" s="19"/>
      <c r="J121" s="25"/>
      <c r="K121" s="26"/>
      <c r="L121" s="24"/>
      <c r="M121" s="19"/>
      <c r="N121" s="19"/>
      <c r="O121" s="19"/>
      <c r="P121" s="19"/>
    </row>
    <row r="122" ht="15.75" customHeight="1">
      <c r="A122" s="27"/>
      <c r="B122" s="19"/>
      <c r="C122" s="19"/>
      <c r="D122" s="20"/>
      <c r="E122" s="21" t="str">
        <f>IF(SET!A173="","",IF(SET!I173="iScout","📱",IF(SET!I173="XSA Neo","💻","📡")))</f>
        <v/>
      </c>
      <c r="F122" s="22"/>
      <c r="G122" s="23"/>
      <c r="H122" s="24"/>
      <c r="I122" s="19"/>
      <c r="J122" s="25"/>
      <c r="K122" s="26"/>
      <c r="L122" s="24"/>
      <c r="M122" s="19"/>
      <c r="N122" s="19"/>
      <c r="O122" s="19"/>
      <c r="P122" s="19"/>
    </row>
    <row r="123" ht="15.75" customHeight="1">
      <c r="A123" s="27"/>
      <c r="B123" s="19"/>
      <c r="C123" s="19"/>
      <c r="D123" s="20"/>
      <c r="E123" s="21" t="str">
        <f>IF(SET!A174="","",IF(SET!I174="iScout","📱",IF(SET!I174="XSA Neo","💻","📡")))</f>
        <v/>
      </c>
      <c r="F123" s="22"/>
      <c r="G123" s="23"/>
      <c r="H123" s="24"/>
      <c r="I123" s="19"/>
      <c r="J123" s="25"/>
      <c r="K123" s="26"/>
      <c r="L123" s="24"/>
      <c r="M123" s="19"/>
      <c r="N123" s="19"/>
      <c r="O123" s="19"/>
      <c r="P123" s="19"/>
    </row>
    <row r="124" ht="15.75" customHeight="1">
      <c r="A124" s="27"/>
      <c r="B124" s="19"/>
      <c r="C124" s="19"/>
      <c r="D124" s="20"/>
      <c r="E124" s="21" t="str">
        <f>IF(SET!A175="","",IF(SET!I175="iScout","📱",IF(SET!I175="XSA Neo","💻","📡")))</f>
        <v/>
      </c>
      <c r="F124" s="22"/>
      <c r="G124" s="23"/>
      <c r="H124" s="24"/>
      <c r="I124" s="19"/>
      <c r="J124" s="25"/>
      <c r="K124" s="26"/>
      <c r="L124" s="24"/>
      <c r="M124" s="19"/>
      <c r="N124" s="19"/>
      <c r="O124" s="19"/>
      <c r="P124" s="19"/>
    </row>
    <row r="125" ht="15.75" customHeight="1">
      <c r="A125" s="27"/>
      <c r="B125" s="19"/>
      <c r="C125" s="19"/>
      <c r="D125" s="20"/>
      <c r="E125" s="21" t="str">
        <f>IF(SET!A176="","",IF(SET!I176="iScout","📱",IF(SET!I176="XSA Neo","💻","📡")))</f>
        <v/>
      </c>
      <c r="F125" s="22"/>
      <c r="G125" s="23"/>
      <c r="H125" s="24"/>
      <c r="I125" s="19"/>
      <c r="J125" s="25"/>
      <c r="K125" s="26"/>
      <c r="L125" s="24"/>
      <c r="M125" s="19"/>
      <c r="N125" s="19"/>
      <c r="O125" s="19"/>
      <c r="P125" s="19"/>
    </row>
    <row r="126" ht="15.75" customHeight="1">
      <c r="A126" s="27"/>
      <c r="B126" s="19"/>
      <c r="C126" s="19"/>
      <c r="D126" s="20"/>
      <c r="E126" s="21" t="str">
        <f>IF(SET!A177="","",IF(SET!I177="iScout","📱",IF(SET!I177="XSA Neo","💻","📡")))</f>
        <v/>
      </c>
      <c r="F126" s="22"/>
      <c r="G126" s="23"/>
      <c r="H126" s="24"/>
      <c r="I126" s="19"/>
      <c r="J126" s="25"/>
      <c r="K126" s="26"/>
      <c r="L126" s="24"/>
      <c r="M126" s="19"/>
      <c r="N126" s="19"/>
      <c r="O126" s="19"/>
      <c r="P126" s="19"/>
    </row>
    <row r="127" ht="15.75" customHeight="1">
      <c r="A127" s="27"/>
      <c r="B127" s="19"/>
      <c r="C127" s="19"/>
      <c r="D127" s="20"/>
      <c r="E127" s="21" t="str">
        <f>IF(SET!A178="","",IF(SET!I178="iScout","📱",IF(SET!I178="XSA Neo","💻","📡")))</f>
        <v/>
      </c>
      <c r="F127" s="22"/>
      <c r="G127" s="23"/>
      <c r="H127" s="24"/>
      <c r="I127" s="19"/>
      <c r="J127" s="25"/>
      <c r="K127" s="26"/>
      <c r="L127" s="24"/>
      <c r="M127" s="19"/>
      <c r="N127" s="19"/>
      <c r="O127" s="19"/>
      <c r="P127" s="19"/>
    </row>
    <row r="128" ht="15.75" customHeight="1">
      <c r="A128" s="27"/>
      <c r="B128" s="19"/>
      <c r="C128" s="19"/>
      <c r="D128" s="20"/>
      <c r="E128" s="21" t="str">
        <f>IF(SET!A179="","",IF(SET!I179="iScout","📱",IF(SET!I179="XSA Neo","💻","📡")))</f>
        <v/>
      </c>
      <c r="F128" s="22"/>
      <c r="G128" s="23"/>
      <c r="H128" s="24"/>
      <c r="I128" s="19"/>
      <c r="J128" s="25"/>
      <c r="K128" s="26"/>
      <c r="L128" s="24"/>
      <c r="M128" s="19"/>
      <c r="N128" s="19"/>
      <c r="O128" s="19"/>
      <c r="P128" s="19"/>
    </row>
    <row r="129" ht="15.75" customHeight="1">
      <c r="A129" s="27"/>
      <c r="B129" s="19"/>
      <c r="C129" s="19"/>
      <c r="D129" s="20"/>
      <c r="E129" s="21" t="str">
        <f>IF(SET!A180="","",IF(SET!I180="iScout","📱",IF(SET!I180="XSA Neo","💻","📡")))</f>
        <v/>
      </c>
      <c r="F129" s="22"/>
      <c r="G129" s="23"/>
      <c r="H129" s="24"/>
      <c r="I129" s="19"/>
      <c r="J129" s="25"/>
      <c r="K129" s="26"/>
      <c r="L129" s="24"/>
      <c r="M129" s="19"/>
      <c r="N129" s="19"/>
      <c r="O129" s="19"/>
      <c r="P129" s="19"/>
    </row>
    <row r="130" ht="15.75" customHeight="1">
      <c r="A130" s="27"/>
      <c r="B130" s="19"/>
      <c r="C130" s="19"/>
      <c r="D130" s="20"/>
      <c r="E130" s="21" t="str">
        <f>IF(SET!A181="","",IF(SET!I181="iScout","📱",IF(SET!I181="XSA Neo","💻","📡")))</f>
        <v/>
      </c>
      <c r="F130" s="22"/>
      <c r="G130" s="23"/>
      <c r="H130" s="24"/>
      <c r="I130" s="19"/>
      <c r="J130" s="25"/>
      <c r="K130" s="26"/>
      <c r="L130" s="24"/>
      <c r="M130" s="19"/>
      <c r="N130" s="19"/>
      <c r="O130" s="19"/>
      <c r="P130" s="19"/>
    </row>
    <row r="131" ht="15.75" customHeight="1">
      <c r="A131" s="27"/>
      <c r="B131" s="19"/>
      <c r="C131" s="19"/>
      <c r="D131" s="20"/>
      <c r="E131" s="21" t="str">
        <f>IF(SET!A182="","",IF(SET!I182="iScout","📱",IF(SET!I182="XSA Neo","💻","📡")))</f>
        <v/>
      </c>
      <c r="F131" s="22"/>
      <c r="G131" s="23"/>
      <c r="H131" s="24"/>
      <c r="I131" s="19"/>
      <c r="J131" s="25"/>
      <c r="K131" s="26"/>
      <c r="L131" s="24"/>
      <c r="M131" s="19"/>
      <c r="N131" s="19"/>
      <c r="O131" s="19"/>
      <c r="P131" s="19"/>
    </row>
    <row r="132" ht="15.75" customHeight="1">
      <c r="A132" s="27"/>
      <c r="B132" s="19"/>
      <c r="C132" s="19"/>
      <c r="D132" s="20"/>
      <c r="E132" s="21" t="str">
        <f>IF(SET!A183="","",IF(SET!I183="iScout","📱",IF(SET!I183="XSA Neo","💻","📡")))</f>
        <v/>
      </c>
      <c r="F132" s="22"/>
      <c r="G132" s="23"/>
      <c r="H132" s="24"/>
      <c r="I132" s="19"/>
      <c r="J132" s="25"/>
      <c r="K132" s="26"/>
      <c r="L132" s="24"/>
      <c r="M132" s="19"/>
      <c r="N132" s="19"/>
      <c r="O132" s="19"/>
      <c r="P132" s="19"/>
    </row>
    <row r="133" ht="15.75" customHeight="1">
      <c r="A133" s="27"/>
      <c r="B133" s="19"/>
      <c r="C133" s="19"/>
      <c r="D133" s="20"/>
      <c r="E133" s="21" t="str">
        <f>IF(SET!A184="","",IF(SET!I184="iScout","📱",IF(SET!I184="XSA Neo","💻","📡")))</f>
        <v/>
      </c>
      <c r="F133" s="22"/>
      <c r="G133" s="23"/>
      <c r="H133" s="24"/>
      <c r="I133" s="19"/>
      <c r="J133" s="25"/>
      <c r="K133" s="26"/>
      <c r="L133" s="24"/>
      <c r="M133" s="19"/>
      <c r="N133" s="19"/>
      <c r="O133" s="19"/>
      <c r="P133" s="19"/>
    </row>
    <row r="134" ht="15.75" customHeight="1">
      <c r="A134" s="27"/>
      <c r="B134" s="19"/>
      <c r="C134" s="19"/>
      <c r="D134" s="20"/>
      <c r="E134" s="21" t="str">
        <f>IF(SET!A185="","",IF(SET!I185="iScout","📱",IF(SET!I185="XSA Neo","💻","📡")))</f>
        <v/>
      </c>
      <c r="F134" s="22"/>
      <c r="G134" s="23"/>
      <c r="H134" s="24"/>
      <c r="I134" s="19"/>
      <c r="J134" s="25"/>
      <c r="K134" s="26"/>
      <c r="L134" s="24"/>
      <c r="M134" s="19"/>
      <c r="N134" s="19"/>
      <c r="O134" s="19"/>
      <c r="P134" s="19"/>
    </row>
    <row r="135" ht="15.75" customHeight="1">
      <c r="A135" s="27"/>
      <c r="B135" s="19"/>
      <c r="C135" s="19"/>
      <c r="D135" s="20"/>
      <c r="E135" s="21" t="str">
        <f>IF(SET!A186="","",IF(SET!I186="iScout","📱",IF(SET!I186="XSA Neo","💻","📡")))</f>
        <v/>
      </c>
      <c r="F135" s="22"/>
      <c r="G135" s="23"/>
      <c r="H135" s="24"/>
      <c r="I135" s="19"/>
      <c r="J135" s="25"/>
      <c r="K135" s="26"/>
      <c r="L135" s="24"/>
      <c r="M135" s="19"/>
      <c r="N135" s="19"/>
      <c r="O135" s="19"/>
      <c r="P135" s="19"/>
    </row>
    <row r="136" ht="15.75" customHeight="1">
      <c r="A136" s="27"/>
      <c r="B136" s="19"/>
      <c r="C136" s="19"/>
      <c r="D136" s="20"/>
      <c r="E136" s="21" t="str">
        <f>IF(SET!A187="","",IF(SET!I187="iScout","📱",IF(SET!I187="XSA Neo","💻","📡")))</f>
        <v/>
      </c>
      <c r="F136" s="22"/>
      <c r="G136" s="23"/>
      <c r="H136" s="24"/>
      <c r="I136" s="19"/>
      <c r="J136" s="25"/>
      <c r="K136" s="26"/>
      <c r="L136" s="24"/>
      <c r="M136" s="19"/>
      <c r="N136" s="19"/>
      <c r="O136" s="19"/>
      <c r="P136" s="19"/>
    </row>
    <row r="137" ht="15.75" customHeight="1">
      <c r="A137" s="27"/>
      <c r="B137" s="19"/>
      <c r="C137" s="19"/>
      <c r="D137" s="20"/>
      <c r="E137" s="21" t="str">
        <f>IF(SET!A188="","",IF(SET!I188="iScout","📱",IF(SET!I188="XSA Neo","💻","📡")))</f>
        <v/>
      </c>
      <c r="F137" s="22"/>
      <c r="G137" s="23"/>
      <c r="H137" s="24"/>
      <c r="I137" s="19"/>
      <c r="J137" s="25"/>
      <c r="K137" s="26"/>
      <c r="L137" s="24"/>
      <c r="M137" s="19"/>
      <c r="N137" s="19"/>
      <c r="O137" s="19"/>
      <c r="P137" s="19"/>
    </row>
    <row r="138" ht="15.75" customHeight="1">
      <c r="A138" s="27"/>
      <c r="B138" s="19"/>
      <c r="C138" s="19"/>
      <c r="D138" s="20"/>
      <c r="E138" s="21" t="str">
        <f>IF(SET!A189="","",IF(SET!I189="iScout","📱",IF(SET!I189="XSA Neo","💻","📡")))</f>
        <v/>
      </c>
      <c r="F138" s="22"/>
      <c r="G138" s="23"/>
      <c r="H138" s="24"/>
      <c r="I138" s="19"/>
      <c r="J138" s="25"/>
      <c r="K138" s="26"/>
      <c r="L138" s="24"/>
      <c r="M138" s="19"/>
      <c r="N138" s="19"/>
      <c r="O138" s="19"/>
      <c r="P138" s="19"/>
    </row>
    <row r="139" ht="15.75" customHeight="1">
      <c r="A139" s="27"/>
      <c r="B139" s="19"/>
      <c r="C139" s="19"/>
      <c r="D139" s="20"/>
      <c r="E139" s="21" t="str">
        <f>IF(SET!A190="","",IF(SET!I190="iScout","📱",IF(SET!I190="XSA Neo","💻","📡")))</f>
        <v/>
      </c>
      <c r="F139" s="22"/>
      <c r="G139" s="23"/>
      <c r="H139" s="24"/>
      <c r="I139" s="19"/>
      <c r="J139" s="25"/>
      <c r="K139" s="26"/>
      <c r="L139" s="24"/>
      <c r="M139" s="19"/>
      <c r="N139" s="19"/>
      <c r="O139" s="19"/>
      <c r="P139" s="19"/>
    </row>
    <row r="140" ht="15.75" customHeight="1">
      <c r="A140" s="27"/>
      <c r="B140" s="19"/>
      <c r="C140" s="19"/>
      <c r="D140" s="20"/>
      <c r="E140" s="21" t="str">
        <f>IF(SET!A191="","",IF(SET!I191="iScout","📱",IF(SET!I191="XSA Neo","💻","📡")))</f>
        <v/>
      </c>
      <c r="F140" s="22"/>
      <c r="G140" s="23"/>
      <c r="H140" s="24"/>
      <c r="I140" s="19"/>
      <c r="J140" s="25"/>
      <c r="K140" s="26"/>
      <c r="L140" s="24"/>
      <c r="M140" s="19"/>
      <c r="N140" s="19"/>
      <c r="O140" s="19"/>
      <c r="P140" s="19"/>
    </row>
    <row r="141" ht="15.75" customHeight="1">
      <c r="A141" s="27"/>
      <c r="B141" s="19"/>
      <c r="C141" s="19"/>
      <c r="D141" s="20"/>
      <c r="E141" s="21" t="str">
        <f>IF(SET!A192="","",IF(SET!I192="iScout","📱",IF(SET!I192="XSA Neo","💻","📡")))</f>
        <v/>
      </c>
      <c r="F141" s="22"/>
      <c r="G141" s="23"/>
      <c r="H141" s="24"/>
      <c r="I141" s="19"/>
      <c r="J141" s="25"/>
      <c r="K141" s="26"/>
      <c r="L141" s="24"/>
      <c r="M141" s="19"/>
      <c r="N141" s="19"/>
      <c r="O141" s="19"/>
      <c r="P141" s="19"/>
    </row>
    <row r="142" ht="15.75" customHeight="1">
      <c r="A142" s="27"/>
      <c r="B142" s="19"/>
      <c r="C142" s="19"/>
      <c r="D142" s="20"/>
      <c r="E142" s="21" t="str">
        <f>IF(SET!A193="","",IF(SET!I193="iScout","📱",IF(SET!I193="XSA Neo","💻","📡")))</f>
        <v/>
      </c>
      <c r="F142" s="22"/>
      <c r="G142" s="23"/>
      <c r="H142" s="24"/>
      <c r="I142" s="19"/>
      <c r="J142" s="25"/>
      <c r="K142" s="26"/>
      <c r="L142" s="24"/>
      <c r="M142" s="19"/>
      <c r="N142" s="19"/>
      <c r="O142" s="19"/>
      <c r="P142" s="19"/>
    </row>
    <row r="143" ht="15.75" customHeight="1">
      <c r="A143" s="27"/>
      <c r="B143" s="5"/>
      <c r="C143" s="19"/>
      <c r="D143" s="20"/>
      <c r="E143" s="21" t="str">
        <f>IF(SET!A194="","",IF(SET!I194="iScout","📱",IF(SET!I194="XSA Neo","💻","📡")))</f>
        <v/>
      </c>
      <c r="F143" s="22"/>
      <c r="G143" s="23"/>
      <c r="H143" s="24"/>
      <c r="I143" s="19"/>
      <c r="J143" s="25"/>
      <c r="K143" s="26"/>
      <c r="L143" s="24"/>
      <c r="M143" s="19"/>
      <c r="N143" s="19"/>
      <c r="O143" s="19"/>
      <c r="P143" s="19"/>
    </row>
    <row r="144" ht="15.75" customHeight="1">
      <c r="A144" s="27"/>
      <c r="B144" s="19"/>
      <c r="C144" s="19"/>
      <c r="D144" s="20"/>
      <c r="E144" s="21" t="str">
        <f>IF(SET!A195="","",IF(SET!I195="iScout","📱",IF(SET!I195="XSA Neo","💻","📡")))</f>
        <v/>
      </c>
      <c r="F144" s="22"/>
      <c r="G144" s="23"/>
      <c r="H144" s="24"/>
      <c r="I144" s="19"/>
      <c r="J144" s="25"/>
      <c r="K144" s="26"/>
      <c r="L144" s="24"/>
      <c r="M144" s="19"/>
      <c r="N144" s="19"/>
      <c r="O144" s="19"/>
      <c r="P144" s="19"/>
    </row>
    <row r="145" ht="15.75" customHeight="1">
      <c r="A145" s="27"/>
      <c r="B145" s="19"/>
      <c r="C145" s="19"/>
      <c r="D145" s="20"/>
      <c r="E145" s="21" t="str">
        <f>IF(SET!A196="","",IF(SET!I196="iScout","📱",IF(SET!I196="XSA Neo","💻","📡")))</f>
        <v/>
      </c>
      <c r="F145" s="22"/>
      <c r="G145" s="23"/>
      <c r="H145" s="24"/>
      <c r="I145" s="19"/>
      <c r="J145" s="25"/>
      <c r="K145" s="26"/>
      <c r="L145" s="24"/>
      <c r="M145" s="19"/>
      <c r="N145" s="19"/>
      <c r="O145" s="19"/>
      <c r="P145" s="19"/>
    </row>
    <row r="146" ht="15.75" customHeight="1">
      <c r="A146" s="27"/>
      <c r="B146" s="19"/>
      <c r="C146" s="19"/>
      <c r="D146" s="20"/>
      <c r="E146" s="21" t="str">
        <f>IF(SET!A197="","",IF(SET!I197="iScout","📱",IF(SET!I197="XSA Neo","💻","📡")))</f>
        <v/>
      </c>
      <c r="F146" s="22"/>
      <c r="G146" s="23"/>
      <c r="H146" s="24"/>
      <c r="I146" s="19"/>
      <c r="J146" s="25"/>
      <c r="K146" s="26"/>
      <c r="L146" s="24"/>
      <c r="M146" s="19"/>
      <c r="N146" s="19"/>
      <c r="O146" s="19"/>
      <c r="P146" s="19"/>
    </row>
    <row r="147" ht="15.75" customHeight="1">
      <c r="A147" s="27"/>
      <c r="B147" s="19"/>
      <c r="C147" s="19"/>
      <c r="D147" s="20"/>
      <c r="E147" s="21" t="str">
        <f>IF(SET!A198="","",IF(SET!I198="iScout","📱",IF(SET!I198="XSA Neo","💻","📡")))</f>
        <v/>
      </c>
      <c r="F147" s="22"/>
      <c r="G147" s="23"/>
      <c r="H147" s="24"/>
      <c r="I147" s="19"/>
      <c r="J147" s="25"/>
      <c r="K147" s="26"/>
      <c r="L147" s="24"/>
      <c r="M147" s="19"/>
      <c r="N147" s="19"/>
      <c r="O147" s="19"/>
      <c r="P147" s="19"/>
    </row>
    <row r="148" ht="15.75" customHeight="1">
      <c r="A148" s="27"/>
      <c r="B148" s="19"/>
      <c r="C148" s="19"/>
      <c r="D148" s="20"/>
      <c r="E148" s="21" t="str">
        <f>IF(SET!A199="","",IF(SET!I199="iScout","📱",IF(SET!I199="XSA Neo","💻","📡")))</f>
        <v/>
      </c>
      <c r="F148" s="22"/>
      <c r="G148" s="23"/>
      <c r="H148" s="24"/>
      <c r="I148" s="19"/>
      <c r="J148" s="25"/>
      <c r="K148" s="26"/>
      <c r="L148" s="24"/>
      <c r="M148" s="19"/>
      <c r="N148" s="19"/>
      <c r="O148" s="19"/>
      <c r="P148" s="19"/>
    </row>
    <row r="149" ht="15.75" customHeight="1">
      <c r="A149" s="27"/>
      <c r="B149" s="19"/>
      <c r="C149" s="19"/>
      <c r="D149" s="20"/>
      <c r="E149" s="21" t="str">
        <f>IF(SET!A200="","",IF(SET!I200="iScout","📱",IF(SET!I200="XSA Neo","💻","📡")))</f>
        <v/>
      </c>
      <c r="F149" s="22"/>
      <c r="G149" s="23"/>
      <c r="H149" s="24"/>
      <c r="I149" s="19"/>
      <c r="J149" s="25"/>
      <c r="K149" s="26"/>
      <c r="L149" s="24"/>
      <c r="M149" s="19"/>
      <c r="N149" s="19"/>
      <c r="O149" s="19"/>
      <c r="P149" s="19"/>
    </row>
    <row r="150" ht="15.75" customHeight="1">
      <c r="A150" s="27"/>
      <c r="B150" s="19"/>
      <c r="C150" s="19"/>
      <c r="D150" s="20"/>
      <c r="E150" s="21" t="str">
        <f>IF(SET!A201="","",IF(SET!I201="iScout","📱",IF(SET!I201="XSA Neo","💻","📡")))</f>
        <v/>
      </c>
      <c r="F150" s="22"/>
      <c r="G150" s="23"/>
      <c r="H150" s="24"/>
      <c r="I150" s="19"/>
      <c r="J150" s="25"/>
      <c r="K150" s="26"/>
      <c r="L150" s="24"/>
      <c r="M150" s="19"/>
      <c r="N150" s="19"/>
      <c r="O150" s="19"/>
      <c r="P150" s="19"/>
    </row>
    <row r="151" ht="15.75" customHeight="1">
      <c r="A151" s="27"/>
      <c r="B151" s="19"/>
      <c r="C151" s="19"/>
      <c r="D151" s="20"/>
      <c r="E151" s="21" t="str">
        <f>IF(SET!A202="","",IF(SET!I202="iScout","📱",IF(SET!I202="XSA Neo","💻","📡")))</f>
        <v/>
      </c>
      <c r="F151" s="22"/>
      <c r="G151" s="23"/>
      <c r="H151" s="24"/>
      <c r="I151" s="19"/>
      <c r="J151" s="25"/>
      <c r="K151" s="26"/>
      <c r="L151" s="24"/>
      <c r="M151" s="19"/>
      <c r="N151" s="19"/>
      <c r="O151" s="19"/>
      <c r="P151" s="19"/>
    </row>
    <row r="152" ht="15.75" customHeight="1">
      <c r="A152" s="27"/>
      <c r="B152" s="19"/>
      <c r="C152" s="19"/>
      <c r="D152" s="20"/>
      <c r="E152" s="21" t="str">
        <f>IF(SET!A203="","",IF(SET!I203="iScout","📱",IF(SET!I203="XSA Neo","💻","📡")))</f>
        <v/>
      </c>
      <c r="F152" s="22"/>
      <c r="G152" s="23"/>
      <c r="H152" s="24"/>
      <c r="I152" s="19"/>
      <c r="J152" s="25"/>
      <c r="K152" s="26"/>
      <c r="L152" s="24"/>
      <c r="M152" s="19"/>
      <c r="N152" s="19"/>
      <c r="O152" s="19"/>
      <c r="P152" s="19"/>
    </row>
    <row r="153" ht="15.75" customHeight="1">
      <c r="A153" s="27"/>
      <c r="B153" s="19"/>
      <c r="C153" s="19"/>
      <c r="D153" s="20"/>
      <c r="E153" s="21" t="str">
        <f>IF(SET!A204="","",IF(SET!I204="iScout","📱",IF(SET!I204="XSA Neo","💻","📡")))</f>
        <v/>
      </c>
      <c r="F153" s="22"/>
      <c r="G153" s="23"/>
      <c r="H153" s="24"/>
      <c r="I153" s="19"/>
      <c r="J153" s="25"/>
      <c r="K153" s="26"/>
      <c r="L153" s="24"/>
      <c r="M153" s="19"/>
      <c r="N153" s="19"/>
      <c r="O153" s="19"/>
      <c r="P153" s="19"/>
    </row>
    <row r="154" ht="15.75" customHeight="1">
      <c r="A154" s="27"/>
      <c r="B154" s="19"/>
      <c r="C154" s="19"/>
      <c r="D154" s="20"/>
      <c r="E154" s="21" t="str">
        <f>IF(SET!A205="","",IF(SET!I205="iScout","📱",IF(SET!I205="XSA Neo","💻","📡")))</f>
        <v/>
      </c>
      <c r="F154" s="22"/>
      <c r="G154" s="23"/>
      <c r="H154" s="24"/>
      <c r="I154" s="19"/>
      <c r="J154" s="25"/>
      <c r="K154" s="26"/>
      <c r="L154" s="24"/>
      <c r="M154" s="19"/>
      <c r="N154" s="19"/>
      <c r="O154" s="19"/>
      <c r="P154" s="19"/>
    </row>
    <row r="155" ht="15.75" customHeight="1">
      <c r="A155" s="27"/>
      <c r="B155" s="19"/>
      <c r="C155" s="19"/>
      <c r="D155" s="20"/>
      <c r="E155" s="21" t="str">
        <f>IF(SET!A206="","",IF(SET!I206="iScout","📱",IF(SET!I206="XSA Neo","💻","📡")))</f>
        <v/>
      </c>
      <c r="F155" s="22"/>
      <c r="G155" s="23"/>
      <c r="H155" s="24"/>
      <c r="I155" s="19"/>
      <c r="J155" s="25"/>
      <c r="K155" s="26"/>
      <c r="L155" s="24"/>
      <c r="M155" s="19"/>
      <c r="N155" s="19"/>
      <c r="O155" s="19"/>
      <c r="P155" s="19"/>
    </row>
    <row r="156" ht="15.75" customHeight="1">
      <c r="A156" s="27"/>
      <c r="B156" s="19"/>
      <c r="C156" s="19"/>
      <c r="D156" s="20"/>
      <c r="E156" s="21" t="str">
        <f>IF(SET!A207="","",IF(SET!I207="iScout","📱",IF(SET!I207="XSA Neo","💻","📡")))</f>
        <v/>
      </c>
      <c r="F156" s="22"/>
      <c r="G156" s="23"/>
      <c r="H156" s="24"/>
      <c r="I156" s="19"/>
      <c r="J156" s="25"/>
      <c r="K156" s="26"/>
      <c r="L156" s="24"/>
      <c r="M156" s="19"/>
      <c r="N156" s="19"/>
      <c r="O156" s="19"/>
      <c r="P156" s="19"/>
    </row>
    <row r="157" ht="15.75" customHeight="1">
      <c r="A157" s="27"/>
      <c r="B157" s="19"/>
      <c r="C157" s="19"/>
      <c r="D157" s="20"/>
      <c r="E157" s="21" t="str">
        <f>IF(SET!A208="","",IF(SET!I208="iScout","📱",IF(SET!I208="XSA Neo","💻","📡")))</f>
        <v/>
      </c>
      <c r="F157" s="22"/>
      <c r="G157" s="23"/>
      <c r="H157" s="24"/>
      <c r="I157" s="19"/>
      <c r="J157" s="25"/>
      <c r="K157" s="26"/>
      <c r="L157" s="24"/>
      <c r="M157" s="19"/>
      <c r="N157" s="19"/>
      <c r="O157" s="19"/>
      <c r="P157" s="19"/>
    </row>
    <row r="158" ht="15.75" customHeight="1">
      <c r="A158" s="27"/>
      <c r="B158" s="19"/>
      <c r="C158" s="19"/>
      <c r="D158" s="20"/>
      <c r="E158" s="21" t="str">
        <f>IF(SET!A209="","",IF(SET!I209="iScout","📱",IF(SET!I209="XSA Neo","💻","📡")))</f>
        <v/>
      </c>
      <c r="F158" s="22"/>
      <c r="G158" s="23"/>
      <c r="H158" s="24"/>
      <c r="I158" s="19"/>
      <c r="J158" s="25"/>
      <c r="K158" s="26"/>
      <c r="L158" s="24"/>
      <c r="M158" s="19"/>
      <c r="N158" s="19"/>
      <c r="O158" s="19"/>
      <c r="P158" s="19"/>
    </row>
    <row r="159" ht="15.75" customHeight="1">
      <c r="A159" s="27"/>
      <c r="B159" s="19"/>
      <c r="C159" s="19"/>
      <c r="D159" s="20"/>
      <c r="E159" s="21" t="str">
        <f>IF(SET!A210="","",IF(SET!I210="iScout","📱",IF(SET!I210="XSA Neo","💻","📡")))</f>
        <v/>
      </c>
      <c r="F159" s="22"/>
      <c r="G159" s="23"/>
      <c r="H159" s="24"/>
      <c r="I159" s="19"/>
      <c r="J159" s="25"/>
      <c r="K159" s="26"/>
      <c r="L159" s="24"/>
      <c r="M159" s="19"/>
      <c r="N159" s="19"/>
      <c r="O159" s="19"/>
      <c r="P159" s="19"/>
    </row>
    <row r="160" ht="15.75" customHeight="1">
      <c r="A160" s="27"/>
      <c r="B160" s="19"/>
      <c r="C160" s="19"/>
      <c r="D160" s="20"/>
      <c r="E160" s="21" t="str">
        <f>IF(SET!A211="","",IF(SET!I211="iScout","📱",IF(SET!I211="XSA Neo","💻","📡")))</f>
        <v/>
      </c>
      <c r="F160" s="22"/>
      <c r="G160" s="23"/>
      <c r="H160" s="24"/>
      <c r="I160" s="19"/>
      <c r="J160" s="25"/>
      <c r="K160" s="26"/>
      <c r="L160" s="24"/>
      <c r="M160" s="19"/>
      <c r="N160" s="19"/>
      <c r="O160" s="19"/>
      <c r="P160" s="19"/>
    </row>
    <row r="161" ht="15.75" customHeight="1">
      <c r="A161" s="27"/>
      <c r="B161" s="19"/>
      <c r="C161" s="19"/>
      <c r="D161" s="20"/>
      <c r="E161" s="21" t="str">
        <f>IF(SET!A212="","",IF(SET!I212="iScout","📱",IF(SET!I212="XSA Neo","💻","📡")))</f>
        <v/>
      </c>
      <c r="F161" s="22"/>
      <c r="G161" s="23"/>
      <c r="H161" s="24"/>
      <c r="I161" s="19"/>
      <c r="J161" s="25"/>
      <c r="K161" s="26"/>
      <c r="L161" s="24"/>
      <c r="M161" s="19"/>
      <c r="N161" s="19"/>
      <c r="O161" s="19"/>
      <c r="P161" s="19"/>
    </row>
    <row r="162" ht="15.75" customHeight="1">
      <c r="A162" s="27"/>
      <c r="B162" s="19"/>
      <c r="C162" s="19"/>
      <c r="D162" s="20"/>
      <c r="E162" s="21" t="str">
        <f>IF(SET!A213="","",IF(SET!I213="iScout","📱",IF(SET!I213="XSA Neo","💻","📡")))</f>
        <v/>
      </c>
      <c r="F162" s="22"/>
      <c r="G162" s="23"/>
      <c r="H162" s="24"/>
      <c r="I162" s="19"/>
      <c r="J162" s="25"/>
      <c r="K162" s="26"/>
      <c r="L162" s="24"/>
      <c r="M162" s="19"/>
      <c r="N162" s="19"/>
      <c r="O162" s="19"/>
      <c r="P162" s="19"/>
    </row>
    <row r="163" ht="15.75" customHeight="1">
      <c r="A163" s="27"/>
      <c r="B163" s="19"/>
      <c r="C163" s="19"/>
      <c r="D163" s="20"/>
      <c r="E163" s="21" t="str">
        <f>IF(SET!A214="","",IF(SET!I214="iScout","📱",IF(SET!I214="XSA Neo","💻","📡")))</f>
        <v/>
      </c>
      <c r="F163" s="22"/>
      <c r="G163" s="23"/>
      <c r="H163" s="24"/>
      <c r="I163" s="19"/>
      <c r="J163" s="25"/>
      <c r="K163" s="26"/>
      <c r="L163" s="24"/>
      <c r="M163" s="19"/>
      <c r="N163" s="19"/>
      <c r="O163" s="19"/>
      <c r="P163" s="19"/>
    </row>
    <row r="164" ht="15.75" customHeight="1">
      <c r="A164" s="27"/>
      <c r="B164" s="19"/>
      <c r="C164" s="19"/>
      <c r="D164" s="20"/>
      <c r="E164" s="21" t="str">
        <f>IF(SET!A215="","",IF(SET!I215="iScout","📱",IF(SET!I215="XSA Neo","💻","📡")))</f>
        <v/>
      </c>
      <c r="F164" s="22"/>
      <c r="G164" s="23"/>
      <c r="H164" s="24"/>
      <c r="I164" s="19"/>
      <c r="J164" s="25"/>
      <c r="K164" s="26"/>
      <c r="L164" s="24"/>
      <c r="M164" s="19"/>
      <c r="N164" s="19"/>
      <c r="O164" s="19"/>
      <c r="P164" s="19"/>
    </row>
    <row r="165" ht="15.75" customHeight="1">
      <c r="A165" s="27"/>
      <c r="B165" s="19"/>
      <c r="C165" s="19"/>
      <c r="D165" s="20"/>
      <c r="E165" s="21" t="str">
        <f>IF(SET!A216="","",IF(SET!I216="iScout","📱",IF(SET!I216="XSA Neo","💻","📡")))</f>
        <v/>
      </c>
      <c r="F165" s="22"/>
      <c r="G165" s="23"/>
      <c r="H165" s="24"/>
      <c r="I165" s="19"/>
      <c r="J165" s="25"/>
      <c r="K165" s="26"/>
      <c r="L165" s="24"/>
      <c r="M165" s="19"/>
      <c r="N165" s="19"/>
      <c r="O165" s="19"/>
      <c r="P165" s="19"/>
    </row>
    <row r="166" ht="15.75" customHeight="1">
      <c r="A166" s="27"/>
      <c r="B166" s="19"/>
      <c r="C166" s="19"/>
      <c r="D166" s="20"/>
      <c r="E166" s="21" t="str">
        <f>IF(SET!A217="","",IF(SET!I217="iScout","📱",IF(SET!I217="XSA Neo","💻","📡")))</f>
        <v/>
      </c>
      <c r="F166" s="22"/>
      <c r="G166" s="23"/>
      <c r="H166" s="24"/>
      <c r="I166" s="19"/>
      <c r="J166" s="25"/>
      <c r="K166" s="26"/>
      <c r="L166" s="24"/>
      <c r="M166" s="19"/>
      <c r="N166" s="19"/>
      <c r="O166" s="19"/>
      <c r="P166" s="19"/>
    </row>
    <row r="167" ht="15.75" customHeight="1">
      <c r="A167" s="27"/>
      <c r="B167" s="19"/>
      <c r="C167" s="19"/>
      <c r="D167" s="20"/>
      <c r="E167" s="21" t="str">
        <f>IF(SET!A218="","",IF(SET!I218="iScout","📱",IF(SET!I218="XSA Neo","💻","📡")))</f>
        <v/>
      </c>
      <c r="F167" s="22"/>
      <c r="G167" s="23"/>
      <c r="H167" s="24"/>
      <c r="I167" s="19"/>
      <c r="J167" s="25"/>
      <c r="K167" s="26"/>
      <c r="L167" s="24"/>
      <c r="M167" s="19"/>
      <c r="N167" s="19"/>
      <c r="O167" s="19"/>
      <c r="P167" s="19"/>
    </row>
    <row r="168" ht="15.75" customHeight="1">
      <c r="A168" s="27"/>
      <c r="B168" s="19"/>
      <c r="C168" s="19"/>
      <c r="D168" s="20"/>
      <c r="E168" s="21" t="str">
        <f>IF(SET!A219="","",IF(SET!I219="iScout","📱",IF(SET!I219="XSA Neo","💻","📡")))</f>
        <v/>
      </c>
      <c r="F168" s="22"/>
      <c r="G168" s="23"/>
      <c r="H168" s="24"/>
      <c r="I168" s="19"/>
      <c r="J168" s="25"/>
      <c r="K168" s="26"/>
      <c r="L168" s="24"/>
      <c r="M168" s="19"/>
      <c r="N168" s="19"/>
      <c r="O168" s="19"/>
      <c r="P168" s="19"/>
    </row>
    <row r="169" ht="15.75" customHeight="1">
      <c r="A169" s="27"/>
      <c r="B169" s="19"/>
      <c r="C169" s="19"/>
      <c r="D169" s="20"/>
      <c r="E169" s="21" t="str">
        <f>IF(SET!A220="","",IF(SET!I220="iScout","📱",IF(SET!I220="XSA Neo","💻","📡")))</f>
        <v/>
      </c>
      <c r="F169" s="22"/>
      <c r="G169" s="23"/>
      <c r="H169" s="24"/>
      <c r="I169" s="19"/>
      <c r="J169" s="25"/>
      <c r="K169" s="26"/>
      <c r="L169" s="24"/>
      <c r="M169" s="19"/>
      <c r="N169" s="19"/>
      <c r="O169" s="19"/>
      <c r="P169" s="19"/>
    </row>
    <row r="170" ht="15.75" customHeight="1">
      <c r="A170" s="27"/>
      <c r="B170" s="19"/>
      <c r="C170" s="19"/>
      <c r="D170" s="20"/>
      <c r="E170" s="21" t="str">
        <f>IF(SET!A221="","",IF(SET!I221="iScout","📱",IF(SET!I221="XSA Neo","💻","📡")))</f>
        <v/>
      </c>
      <c r="F170" s="22"/>
      <c r="G170" s="23"/>
      <c r="H170" s="24"/>
      <c r="I170" s="19"/>
      <c r="J170" s="25"/>
      <c r="K170" s="26"/>
      <c r="L170" s="24"/>
      <c r="M170" s="19"/>
      <c r="N170" s="19"/>
      <c r="O170" s="19"/>
      <c r="P170" s="19"/>
    </row>
    <row r="171" ht="15.75" customHeight="1">
      <c r="A171" s="27"/>
      <c r="B171" s="19"/>
      <c r="C171" s="19"/>
      <c r="D171" s="20"/>
      <c r="E171" s="21" t="str">
        <f>IF(SET!A222="","",IF(SET!I222="iScout","📱",IF(SET!I222="XSA Neo","💻","📡")))</f>
        <v/>
      </c>
      <c r="F171" s="22"/>
      <c r="G171" s="23"/>
      <c r="H171" s="24"/>
      <c r="I171" s="19"/>
      <c r="J171" s="25"/>
      <c r="K171" s="26"/>
      <c r="L171" s="24"/>
      <c r="M171" s="19"/>
      <c r="N171" s="19"/>
      <c r="O171" s="19"/>
      <c r="P171" s="19"/>
    </row>
    <row r="172" ht="15.75" customHeight="1">
      <c r="A172" s="27"/>
      <c r="B172" s="19"/>
      <c r="C172" s="19"/>
      <c r="D172" s="20"/>
      <c r="E172" s="21" t="str">
        <f>IF(SET!A223="","",IF(SET!I223="iScout","📱",IF(SET!I223="XSA Neo","💻","📡")))</f>
        <v/>
      </c>
      <c r="F172" s="22"/>
      <c r="G172" s="23"/>
      <c r="H172" s="24"/>
      <c r="I172" s="19"/>
      <c r="J172" s="25"/>
      <c r="K172" s="26"/>
      <c r="L172" s="24"/>
      <c r="M172" s="19"/>
      <c r="N172" s="19"/>
      <c r="O172" s="19"/>
      <c r="P172" s="19"/>
    </row>
    <row r="173" ht="15.75" customHeight="1">
      <c r="A173" s="27"/>
      <c r="B173" s="19"/>
      <c r="C173" s="19"/>
      <c r="D173" s="20"/>
      <c r="E173" s="21" t="str">
        <f>IF(SET!A224="","",IF(SET!I224="iScout","📱",IF(SET!I224="XSA Neo","💻","📡")))</f>
        <v/>
      </c>
      <c r="F173" s="22"/>
      <c r="G173" s="23"/>
      <c r="H173" s="24"/>
      <c r="I173" s="19"/>
      <c r="J173" s="25"/>
      <c r="K173" s="26"/>
      <c r="L173" s="24"/>
      <c r="M173" s="19"/>
      <c r="N173" s="19"/>
      <c r="O173" s="19"/>
      <c r="P173" s="19"/>
    </row>
    <row r="174" ht="15.75" customHeight="1">
      <c r="A174" s="27"/>
      <c r="B174" s="19"/>
      <c r="C174" s="19"/>
      <c r="D174" s="20"/>
      <c r="E174" s="21" t="str">
        <f>IF(SET!A225="","",IF(SET!I225="iScout","📱",IF(SET!I225="XSA Neo","💻","📡")))</f>
        <v/>
      </c>
      <c r="F174" s="22"/>
      <c r="G174" s="23"/>
      <c r="H174" s="24"/>
      <c r="I174" s="19"/>
      <c r="J174" s="25"/>
      <c r="K174" s="26"/>
      <c r="L174" s="24"/>
      <c r="M174" s="19"/>
      <c r="N174" s="19"/>
      <c r="O174" s="19"/>
      <c r="P174" s="19"/>
    </row>
    <row r="175" ht="15.75" customHeight="1">
      <c r="A175" s="27"/>
      <c r="B175" s="19"/>
      <c r="C175" s="19"/>
      <c r="D175" s="20"/>
      <c r="E175" s="21" t="str">
        <f>IF(SET!A226="","",IF(SET!I226="iScout","📱",IF(SET!I226="XSA Neo","💻","📡")))</f>
        <v/>
      </c>
      <c r="F175" s="22"/>
      <c r="G175" s="23"/>
      <c r="H175" s="24"/>
      <c r="I175" s="19"/>
      <c r="J175" s="25"/>
      <c r="K175" s="26"/>
      <c r="L175" s="24"/>
      <c r="M175" s="19"/>
      <c r="N175" s="19"/>
      <c r="O175" s="19"/>
      <c r="P175" s="19"/>
    </row>
    <row r="176" ht="15.75" customHeight="1">
      <c r="A176" s="27"/>
      <c r="B176" s="19"/>
      <c r="C176" s="19"/>
      <c r="D176" s="20"/>
      <c r="E176" s="21" t="str">
        <f>IF(SET!A227="","",IF(SET!I227="iScout","📱",IF(SET!I227="XSA Neo","💻","📡")))</f>
        <v/>
      </c>
      <c r="F176" s="22"/>
      <c r="G176" s="23"/>
      <c r="H176" s="24"/>
      <c r="I176" s="19"/>
      <c r="J176" s="25"/>
      <c r="K176" s="26"/>
      <c r="L176" s="24"/>
      <c r="M176" s="19"/>
      <c r="N176" s="19"/>
      <c r="O176" s="19"/>
      <c r="P176" s="19"/>
    </row>
    <row r="177" ht="15.75" customHeight="1">
      <c r="A177" s="27"/>
      <c r="B177" s="19"/>
      <c r="C177" s="19"/>
      <c r="D177" s="20"/>
      <c r="E177" s="21" t="str">
        <f>IF(SET!A228="","",IF(SET!I228="iScout","📱",IF(SET!I228="XSA Neo","💻","📡")))</f>
        <v/>
      </c>
      <c r="F177" s="22"/>
      <c r="G177" s="23"/>
      <c r="H177" s="24"/>
      <c r="I177" s="19"/>
      <c r="J177" s="25"/>
      <c r="K177" s="26"/>
      <c r="L177" s="24"/>
      <c r="M177" s="19"/>
      <c r="N177" s="19"/>
      <c r="O177" s="19"/>
      <c r="P177" s="19"/>
    </row>
    <row r="178" ht="15.75" customHeight="1">
      <c r="A178" s="27"/>
      <c r="B178" s="19"/>
      <c r="C178" s="19"/>
      <c r="D178" s="20"/>
      <c r="E178" s="21" t="str">
        <f>IF(SET!A229="","",IF(SET!I229="iScout","📱",IF(SET!I229="XSA Neo","💻","📡")))</f>
        <v/>
      </c>
      <c r="F178" s="22"/>
      <c r="G178" s="23"/>
      <c r="H178" s="24"/>
      <c r="I178" s="19"/>
      <c r="J178" s="25"/>
      <c r="K178" s="26"/>
      <c r="L178" s="24"/>
      <c r="M178" s="19"/>
      <c r="N178" s="19"/>
      <c r="O178" s="19"/>
      <c r="P178" s="19"/>
    </row>
    <row r="179" ht="15.75" customHeight="1">
      <c r="A179" s="27"/>
      <c r="B179" s="19"/>
      <c r="C179" s="19"/>
      <c r="D179" s="20"/>
      <c r="E179" s="21" t="str">
        <f>IF(SET!A230="","",IF(SET!I230="iScout","📱",IF(SET!I230="XSA Neo","💻","📡")))</f>
        <v/>
      </c>
      <c r="F179" s="22"/>
      <c r="G179" s="23"/>
      <c r="H179" s="24"/>
      <c r="I179" s="19"/>
      <c r="J179" s="25"/>
      <c r="K179" s="26"/>
      <c r="L179" s="24"/>
      <c r="M179" s="19"/>
      <c r="N179" s="19"/>
      <c r="O179" s="19"/>
      <c r="P179" s="19"/>
    </row>
    <row r="180" ht="15.75" customHeight="1">
      <c r="A180" s="27"/>
      <c r="B180" s="19"/>
      <c r="C180" s="19"/>
      <c r="D180" s="20"/>
      <c r="E180" s="21" t="str">
        <f>IF(SET!A231="","",IF(SET!I231="iScout","📱",IF(SET!I231="XSA Neo","💻","📡")))</f>
        <v/>
      </c>
      <c r="F180" s="22"/>
      <c r="G180" s="23"/>
      <c r="H180" s="24"/>
      <c r="I180" s="19"/>
      <c r="J180" s="25"/>
      <c r="K180" s="26"/>
      <c r="L180" s="24"/>
      <c r="M180" s="19"/>
      <c r="N180" s="19"/>
      <c r="O180" s="19"/>
      <c r="P180" s="19"/>
    </row>
    <row r="181" ht="15.75" customHeight="1">
      <c r="A181" s="27"/>
      <c r="B181" s="19"/>
      <c r="C181" s="19"/>
      <c r="D181" s="20"/>
      <c r="E181" s="21" t="str">
        <f>IF(SET!A232="","",IF(SET!I232="iScout","📱",IF(SET!I232="XSA Neo","💻","📡")))</f>
        <v/>
      </c>
      <c r="F181" s="22"/>
      <c r="G181" s="23"/>
      <c r="H181" s="24"/>
      <c r="I181" s="19"/>
      <c r="J181" s="25"/>
      <c r="K181" s="26"/>
      <c r="L181" s="24"/>
      <c r="M181" s="19"/>
      <c r="N181" s="19"/>
      <c r="O181" s="19"/>
      <c r="P181" s="19"/>
    </row>
    <row r="182" ht="15.75" customHeight="1">
      <c r="A182" s="27"/>
      <c r="B182" s="19"/>
      <c r="C182" s="19"/>
      <c r="D182" s="20"/>
      <c r="E182" s="21" t="str">
        <f>IF(SET!A233="","",IF(SET!I233="iScout","📱",IF(SET!I233="XSA Neo","💻","📡")))</f>
        <v/>
      </c>
      <c r="F182" s="22"/>
      <c r="G182" s="23"/>
      <c r="H182" s="24"/>
      <c r="I182" s="19"/>
      <c r="J182" s="25"/>
      <c r="K182" s="26"/>
      <c r="L182" s="24"/>
      <c r="M182" s="19"/>
      <c r="N182" s="19"/>
      <c r="O182" s="19"/>
      <c r="P182" s="19"/>
    </row>
    <row r="183" ht="15.75" customHeight="1">
      <c r="A183" s="27"/>
      <c r="B183" s="19"/>
      <c r="C183" s="19"/>
      <c r="D183" s="20"/>
      <c r="E183" s="21" t="str">
        <f>IF(SET!A234="","",IF(SET!I234="iScout","📱",IF(SET!I234="XSA Neo","💻","📡")))</f>
        <v/>
      </c>
      <c r="F183" s="22"/>
      <c r="G183" s="23"/>
      <c r="H183" s="24"/>
      <c r="I183" s="19"/>
      <c r="J183" s="25"/>
      <c r="K183" s="26"/>
      <c r="L183" s="24"/>
      <c r="M183" s="19"/>
      <c r="N183" s="19"/>
      <c r="O183" s="19"/>
      <c r="P183" s="19"/>
    </row>
    <row r="184" ht="15.75" customHeight="1">
      <c r="A184" s="27"/>
      <c r="B184" s="19"/>
      <c r="C184" s="19"/>
      <c r="D184" s="20"/>
      <c r="E184" s="21" t="str">
        <f>IF(SET!A235="","",IF(SET!I235="iScout","📱",IF(SET!I235="XSA Neo","💻","📡")))</f>
        <v/>
      </c>
      <c r="F184" s="22"/>
      <c r="G184" s="23"/>
      <c r="H184" s="24"/>
      <c r="I184" s="19"/>
      <c r="J184" s="25"/>
      <c r="K184" s="26"/>
      <c r="L184" s="24"/>
      <c r="M184" s="19"/>
      <c r="N184" s="19"/>
      <c r="O184" s="19"/>
      <c r="P184" s="19"/>
    </row>
    <row r="185" ht="15.75" customHeight="1">
      <c r="A185" s="27"/>
      <c r="B185" s="19"/>
      <c r="C185" s="19"/>
      <c r="D185" s="20"/>
      <c r="E185" s="21" t="str">
        <f>IF(SET!A236="","",IF(SET!I236="iScout","📱",IF(SET!I236="XSA Neo","💻","📡")))</f>
        <v/>
      </c>
      <c r="F185" s="22"/>
      <c r="G185" s="23"/>
      <c r="H185" s="24"/>
      <c r="I185" s="19"/>
      <c r="J185" s="25"/>
      <c r="K185" s="26"/>
      <c r="L185" s="24"/>
      <c r="M185" s="19"/>
      <c r="N185" s="19"/>
      <c r="O185" s="19"/>
      <c r="P185" s="19"/>
    </row>
    <row r="186" ht="15.75" customHeight="1">
      <c r="A186" s="27"/>
      <c r="B186" s="19"/>
      <c r="C186" s="19"/>
      <c r="D186" s="20"/>
      <c r="E186" s="21" t="str">
        <f>IF(SET!A237="","",IF(SET!I237="iScout","📱",IF(SET!I237="XSA Neo","💻","📡")))</f>
        <v/>
      </c>
      <c r="F186" s="22"/>
      <c r="G186" s="23"/>
      <c r="H186" s="24"/>
      <c r="I186" s="19"/>
      <c r="J186" s="25"/>
      <c r="K186" s="26"/>
      <c r="L186" s="24"/>
      <c r="M186" s="19"/>
      <c r="N186" s="19"/>
      <c r="O186" s="19"/>
      <c r="P186" s="19"/>
    </row>
    <row r="187" ht="15.75" customHeight="1">
      <c r="A187" s="27"/>
      <c r="B187" s="19"/>
      <c r="C187" s="19"/>
      <c r="D187" s="20"/>
      <c r="E187" s="21" t="str">
        <f>IF(SET!A238="","",IF(SET!I238="iScout","📱",IF(SET!I238="XSA Neo","💻","📡")))</f>
        <v/>
      </c>
      <c r="F187" s="22"/>
      <c r="G187" s="23"/>
      <c r="H187" s="24"/>
      <c r="I187" s="19"/>
      <c r="J187" s="25"/>
      <c r="K187" s="26"/>
      <c r="L187" s="24"/>
      <c r="M187" s="19"/>
      <c r="N187" s="19"/>
      <c r="O187" s="19"/>
      <c r="P187" s="19"/>
    </row>
    <row r="188" ht="15.75" customHeight="1">
      <c r="A188" s="27"/>
      <c r="B188" s="19"/>
      <c r="C188" s="19"/>
      <c r="D188" s="20"/>
      <c r="E188" s="21" t="str">
        <f>IF(SET!A239="","",IF(SET!I239="iScout","📱",IF(SET!I239="XSA Neo","💻","📡")))</f>
        <v/>
      </c>
      <c r="F188" s="22"/>
      <c r="G188" s="23"/>
      <c r="H188" s="24"/>
      <c r="I188" s="19"/>
      <c r="J188" s="25"/>
      <c r="K188" s="26"/>
      <c r="L188" s="24"/>
      <c r="M188" s="19"/>
      <c r="N188" s="19"/>
      <c r="O188" s="19"/>
      <c r="P188" s="19"/>
    </row>
    <row r="189" ht="15.75" customHeight="1">
      <c r="A189" s="27"/>
      <c r="B189" s="19"/>
      <c r="C189" s="19"/>
      <c r="D189" s="20"/>
      <c r="E189" s="21" t="str">
        <f>IF(SET!A240="","",IF(SET!I240="iScout","📱",IF(SET!I240="XSA Neo","💻","📡")))</f>
        <v/>
      </c>
      <c r="F189" s="22"/>
      <c r="G189" s="23"/>
      <c r="H189" s="24"/>
      <c r="I189" s="19"/>
      <c r="J189" s="25"/>
      <c r="K189" s="26"/>
      <c r="L189" s="24"/>
      <c r="M189" s="19"/>
      <c r="N189" s="19"/>
      <c r="O189" s="19"/>
      <c r="P189" s="19"/>
    </row>
    <row r="190" ht="15.75" customHeight="1">
      <c r="A190" s="27"/>
      <c r="B190" s="19"/>
      <c r="C190" s="19"/>
      <c r="D190" s="20"/>
      <c r="E190" s="21" t="str">
        <f>IF(SET!A241="","",IF(SET!I241="iScout","📱",IF(SET!I241="XSA Neo","💻","📡")))</f>
        <v/>
      </c>
      <c r="F190" s="22"/>
      <c r="G190" s="23"/>
      <c r="H190" s="24"/>
      <c r="I190" s="19"/>
      <c r="J190" s="25"/>
      <c r="K190" s="26"/>
      <c r="L190" s="24"/>
      <c r="M190" s="19"/>
      <c r="N190" s="19"/>
      <c r="O190" s="19"/>
      <c r="P190" s="19"/>
    </row>
    <row r="191" ht="15.75" customHeight="1">
      <c r="A191" s="27"/>
      <c r="B191" s="19"/>
      <c r="C191" s="19"/>
      <c r="D191" s="20"/>
      <c r="E191" s="21" t="str">
        <f>IF(SET!A242="","",IF(SET!I242="iScout","📱",IF(SET!I242="XSA Neo","💻","📡")))</f>
        <v/>
      </c>
      <c r="F191" s="22"/>
      <c r="G191" s="23"/>
      <c r="H191" s="24"/>
      <c r="I191" s="19"/>
      <c r="J191" s="25"/>
      <c r="K191" s="26"/>
      <c r="L191" s="24"/>
      <c r="M191" s="19"/>
      <c r="N191" s="19"/>
      <c r="O191" s="19"/>
      <c r="P191" s="19"/>
    </row>
    <row r="192" ht="15.75" customHeight="1">
      <c r="A192" s="27"/>
      <c r="B192" s="19"/>
      <c r="C192" s="19"/>
      <c r="D192" s="20"/>
      <c r="E192" s="21" t="str">
        <f>IF(SET!A243="","",IF(SET!I243="iScout","📱",IF(SET!I243="XSA Neo","💻","📡")))</f>
        <v/>
      </c>
      <c r="F192" s="22"/>
      <c r="G192" s="23"/>
      <c r="H192" s="24"/>
      <c r="I192" s="19"/>
      <c r="J192" s="25"/>
      <c r="K192" s="26"/>
      <c r="L192" s="24"/>
      <c r="M192" s="19"/>
      <c r="N192" s="19"/>
      <c r="O192" s="19"/>
      <c r="P192" s="19"/>
    </row>
    <row r="193" ht="15.75" customHeight="1">
      <c r="A193" s="27"/>
      <c r="B193" s="19"/>
      <c r="C193" s="19"/>
      <c r="D193" s="20"/>
      <c r="E193" s="21" t="str">
        <f>IF(SET!A244="","",IF(SET!I244="iScout","📱",IF(SET!I244="XSA Neo","💻","📡")))</f>
        <v/>
      </c>
      <c r="F193" s="22"/>
      <c r="G193" s="23"/>
      <c r="H193" s="24"/>
      <c r="I193" s="19"/>
      <c r="J193" s="25"/>
      <c r="K193" s="26"/>
      <c r="L193" s="24"/>
      <c r="M193" s="19"/>
      <c r="N193" s="19"/>
      <c r="O193" s="19"/>
      <c r="P193" s="19"/>
    </row>
    <row r="194" ht="15.75" customHeight="1">
      <c r="A194" s="27"/>
      <c r="B194" s="19"/>
      <c r="C194" s="19"/>
      <c r="D194" s="20"/>
      <c r="E194" s="21" t="str">
        <f>IF(SET!A245="","",IF(SET!I245="iScout","📱",IF(SET!I245="XSA Neo","💻","📡")))</f>
        <v/>
      </c>
      <c r="F194" s="22"/>
      <c r="G194" s="23"/>
      <c r="H194" s="24"/>
      <c r="I194" s="19"/>
      <c r="J194" s="25"/>
      <c r="K194" s="26"/>
      <c r="L194" s="24"/>
      <c r="M194" s="19"/>
      <c r="N194" s="19"/>
      <c r="O194" s="19"/>
      <c r="P194" s="19"/>
    </row>
    <row r="195" ht="15.75" customHeight="1">
      <c r="A195" s="27"/>
      <c r="B195" s="19"/>
      <c r="C195" s="19"/>
      <c r="D195" s="20"/>
      <c r="E195" s="21" t="str">
        <f>IF(SET!A246="","",IF(SET!I246="iScout","📱",IF(SET!I246="XSA Neo","💻","📡")))</f>
        <v/>
      </c>
      <c r="F195" s="22"/>
      <c r="G195" s="23"/>
      <c r="H195" s="24"/>
      <c r="I195" s="19"/>
      <c r="J195" s="25"/>
      <c r="K195" s="26"/>
      <c r="L195" s="24"/>
      <c r="M195" s="19"/>
      <c r="N195" s="19"/>
      <c r="O195" s="19"/>
      <c r="P195" s="19"/>
    </row>
    <row r="196" ht="15.75" customHeight="1">
      <c r="A196" s="27"/>
      <c r="B196" s="19"/>
      <c r="C196" s="19"/>
      <c r="D196" s="20"/>
      <c r="E196" s="21" t="str">
        <f>IF(SET!A247="","",IF(SET!I247="iScout","📱",IF(SET!I247="XSA Neo","💻","📡")))</f>
        <v/>
      </c>
      <c r="F196" s="22"/>
      <c r="G196" s="23"/>
      <c r="H196" s="24"/>
      <c r="I196" s="19"/>
      <c r="J196" s="25"/>
      <c r="K196" s="26"/>
      <c r="L196" s="24"/>
      <c r="M196" s="19"/>
      <c r="N196" s="19"/>
      <c r="O196" s="19"/>
      <c r="P196" s="19"/>
    </row>
    <row r="197" ht="15.75" customHeight="1">
      <c r="A197" s="27"/>
      <c r="B197" s="19"/>
      <c r="C197" s="19"/>
      <c r="D197" s="20"/>
      <c r="E197" s="21" t="str">
        <f>IF(SET!A248="","",IF(SET!I248="iScout","📱",IF(SET!I248="XSA Neo","💻","📡")))</f>
        <v/>
      </c>
      <c r="F197" s="22"/>
      <c r="G197" s="23"/>
      <c r="H197" s="24"/>
      <c r="I197" s="19"/>
      <c r="J197" s="25"/>
      <c r="K197" s="26"/>
      <c r="L197" s="24"/>
      <c r="M197" s="19"/>
      <c r="N197" s="19"/>
      <c r="O197" s="19"/>
      <c r="P197" s="19"/>
    </row>
    <row r="198" ht="15.75" customHeight="1">
      <c r="A198" s="27"/>
      <c r="B198" s="19"/>
      <c r="C198" s="19"/>
      <c r="D198" s="20"/>
      <c r="E198" s="21" t="str">
        <f>IF(SET!A249="","",IF(SET!I249="iScout","📱",IF(SET!I249="XSA Neo","💻","📡")))</f>
        <v/>
      </c>
      <c r="F198" s="22"/>
      <c r="G198" s="23"/>
      <c r="H198" s="24"/>
      <c r="I198" s="19"/>
      <c r="J198" s="25"/>
      <c r="K198" s="26"/>
      <c r="L198" s="24"/>
      <c r="M198" s="19"/>
      <c r="N198" s="19"/>
      <c r="O198" s="19"/>
      <c r="P198" s="19"/>
    </row>
    <row r="199" ht="15.75" customHeight="1">
      <c r="A199" s="27"/>
      <c r="B199" s="19"/>
      <c r="C199" s="19"/>
      <c r="D199" s="20"/>
      <c r="E199" s="21" t="str">
        <f>IF(SET!A250="","",IF(SET!I250="iScout","📱",IF(SET!I250="XSA Neo","💻","📡")))</f>
        <v/>
      </c>
      <c r="F199" s="22"/>
      <c r="G199" s="23"/>
      <c r="H199" s="24"/>
      <c r="I199" s="19"/>
      <c r="J199" s="25"/>
      <c r="K199" s="26"/>
      <c r="L199" s="24"/>
      <c r="M199" s="19"/>
      <c r="N199" s="19"/>
      <c r="O199" s="19"/>
      <c r="P199" s="19"/>
    </row>
    <row r="200" ht="15.75" customHeight="1">
      <c r="A200" s="27"/>
      <c r="B200" s="19"/>
      <c r="C200" s="19"/>
      <c r="D200" s="20"/>
      <c r="E200" s="21" t="str">
        <f>IF(SET!A251="","",IF(SET!I251="iScout","📱",IF(SET!I251="XSA Neo","💻","📡")))</f>
        <v/>
      </c>
      <c r="F200" s="22"/>
      <c r="G200" s="23"/>
      <c r="H200" s="24"/>
      <c r="I200" s="19"/>
      <c r="J200" s="25"/>
      <c r="K200" s="26"/>
      <c r="L200" s="24"/>
      <c r="M200" s="19"/>
      <c r="N200" s="19"/>
      <c r="O200" s="19"/>
      <c r="P200" s="19"/>
    </row>
    <row r="201" ht="15.75" customHeight="1">
      <c r="A201" s="27"/>
      <c r="B201" s="19"/>
      <c r="C201" s="19"/>
      <c r="D201" s="20"/>
      <c r="E201" s="21" t="str">
        <f>IF(SET!A252="","",IF(SET!I252="iScout","📱",IF(SET!I252="XSA Neo","💻","📡")))</f>
        <v/>
      </c>
      <c r="F201" s="22"/>
      <c r="G201" s="23"/>
      <c r="H201" s="24"/>
      <c r="I201" s="19"/>
      <c r="J201" s="25"/>
      <c r="K201" s="26"/>
      <c r="L201" s="24"/>
      <c r="M201" s="19"/>
      <c r="N201" s="19"/>
      <c r="O201" s="19"/>
      <c r="P201" s="19"/>
    </row>
    <row r="202" ht="15.75" customHeight="1">
      <c r="A202" s="27"/>
      <c r="B202" s="19"/>
      <c r="C202" s="19"/>
      <c r="D202" s="20"/>
      <c r="E202" s="21" t="str">
        <f>IF(SET!A253="","",IF(SET!I253="iScout","📱",IF(SET!I253="XSA Neo","💻","📡")))</f>
        <v/>
      </c>
      <c r="F202" s="22"/>
      <c r="G202" s="23"/>
      <c r="H202" s="24"/>
      <c r="I202" s="19"/>
      <c r="J202" s="25"/>
      <c r="K202" s="26"/>
      <c r="L202" s="24"/>
      <c r="M202" s="19"/>
      <c r="N202" s="19"/>
      <c r="O202" s="19"/>
      <c r="P202" s="19"/>
    </row>
    <row r="203" ht="15.75" customHeight="1">
      <c r="A203" s="27"/>
      <c r="B203" s="19"/>
      <c r="C203" s="19"/>
      <c r="D203" s="20"/>
      <c r="E203" s="21" t="str">
        <f>IF(SET!A254="","",IF(SET!I254="iScout","📱",IF(SET!I254="XSA Neo","💻","📡")))</f>
        <v/>
      </c>
      <c r="F203" s="22"/>
      <c r="G203" s="23"/>
      <c r="H203" s="24"/>
      <c r="I203" s="19"/>
      <c r="J203" s="25"/>
      <c r="K203" s="26"/>
      <c r="L203" s="24"/>
      <c r="M203" s="19"/>
      <c r="N203" s="19"/>
      <c r="O203" s="19"/>
      <c r="P203" s="19"/>
    </row>
    <row r="204" ht="15.75" customHeight="1">
      <c r="A204" s="27"/>
      <c r="B204" s="19"/>
      <c r="C204" s="19"/>
      <c r="D204" s="20"/>
      <c r="E204" s="21" t="str">
        <f>IF(SET!A255="","",IF(SET!I255="iScout","📱",IF(SET!I255="XSA Neo","💻","📡")))</f>
        <v/>
      </c>
      <c r="F204" s="22"/>
      <c r="G204" s="23"/>
      <c r="H204" s="24"/>
      <c r="I204" s="19"/>
      <c r="J204" s="25"/>
      <c r="K204" s="26"/>
      <c r="L204" s="24"/>
      <c r="M204" s="19"/>
      <c r="N204" s="19"/>
      <c r="O204" s="19"/>
      <c r="P204" s="19"/>
    </row>
    <row r="205" ht="15.75" customHeight="1">
      <c r="A205" s="27"/>
      <c r="B205" s="19"/>
      <c r="C205" s="19"/>
      <c r="D205" s="20"/>
      <c r="E205" s="21" t="str">
        <f>IF(SET!A256="","",IF(SET!I256="iScout","📱",IF(SET!I256="XSA Neo","💻","📡")))</f>
        <v/>
      </c>
      <c r="F205" s="22"/>
      <c r="G205" s="23"/>
      <c r="H205" s="24"/>
      <c r="I205" s="19"/>
      <c r="J205" s="25"/>
      <c r="K205" s="26"/>
      <c r="L205" s="24"/>
      <c r="M205" s="19"/>
      <c r="N205" s="19"/>
      <c r="O205" s="19"/>
      <c r="P205" s="19"/>
    </row>
    <row r="206" ht="15.75" customHeight="1">
      <c r="A206" s="27"/>
      <c r="B206" s="19"/>
      <c r="C206" s="19"/>
      <c r="D206" s="20"/>
      <c r="E206" s="21" t="str">
        <f>IF(SET!A257="","",IF(SET!I257="iScout","📱",IF(SET!I257="XSA Neo","💻","📡")))</f>
        <v/>
      </c>
      <c r="F206" s="22"/>
      <c r="G206" s="23"/>
      <c r="H206" s="24"/>
      <c r="I206" s="19"/>
      <c r="J206" s="25"/>
      <c r="K206" s="26"/>
      <c r="L206" s="24"/>
      <c r="M206" s="19"/>
      <c r="N206" s="19"/>
      <c r="O206" s="19"/>
      <c r="P206" s="19"/>
    </row>
    <row r="207" ht="15.75" customHeight="1">
      <c r="A207" s="27"/>
      <c r="B207" s="19"/>
      <c r="C207" s="19"/>
      <c r="D207" s="20"/>
      <c r="E207" s="21" t="str">
        <f>IF(SET!A258="","",IF(SET!I258="iScout","📱",IF(SET!I258="XSA Neo","💻","📡")))</f>
        <v/>
      </c>
      <c r="F207" s="22"/>
      <c r="G207" s="23"/>
      <c r="H207" s="24"/>
      <c r="I207" s="19"/>
      <c r="J207" s="25"/>
      <c r="K207" s="26"/>
      <c r="L207" s="24"/>
      <c r="M207" s="19"/>
      <c r="N207" s="19"/>
      <c r="O207" s="19"/>
      <c r="P207" s="19"/>
    </row>
    <row r="208" ht="15.75" customHeight="1">
      <c r="A208" s="27"/>
      <c r="B208" s="19"/>
      <c r="C208" s="19"/>
      <c r="D208" s="20"/>
      <c r="E208" s="21" t="str">
        <f>IF(SET!A259="","",IF(SET!I259="iScout","📱",IF(SET!I259="XSA Neo","💻","📡")))</f>
        <v/>
      </c>
      <c r="F208" s="22"/>
      <c r="G208" s="23"/>
      <c r="H208" s="24"/>
      <c r="I208" s="19"/>
      <c r="J208" s="25"/>
      <c r="K208" s="26"/>
      <c r="L208" s="24"/>
      <c r="M208" s="19"/>
      <c r="N208" s="19"/>
      <c r="O208" s="19"/>
      <c r="P208" s="19"/>
    </row>
    <row r="209" ht="15.75" customHeight="1">
      <c r="A209" s="27"/>
      <c r="B209" s="19"/>
      <c r="C209" s="19"/>
      <c r="D209" s="20"/>
      <c r="E209" s="21" t="str">
        <f>IF(SET!A260="","",IF(SET!I260="iScout","📱",IF(SET!I260="XSA Neo","💻","📡")))</f>
        <v/>
      </c>
      <c r="F209" s="22"/>
      <c r="G209" s="23"/>
      <c r="H209" s="24"/>
      <c r="I209" s="19"/>
      <c r="J209" s="25"/>
      <c r="K209" s="26"/>
      <c r="L209" s="24"/>
      <c r="M209" s="19"/>
      <c r="N209" s="19"/>
      <c r="O209" s="19"/>
      <c r="P209" s="19"/>
    </row>
    <row r="210" ht="15.75" customHeight="1">
      <c r="A210" s="27"/>
      <c r="B210" s="19"/>
      <c r="C210" s="19"/>
      <c r="D210" s="20"/>
      <c r="E210" s="21" t="str">
        <f>IF(SET!A261="","",IF(SET!I261="iScout","📱",IF(SET!I261="XSA Neo","💻","📡")))</f>
        <v/>
      </c>
      <c r="F210" s="22"/>
      <c r="G210" s="23"/>
      <c r="H210" s="24"/>
      <c r="I210" s="19"/>
      <c r="J210" s="25"/>
      <c r="K210" s="26"/>
      <c r="L210" s="24"/>
      <c r="M210" s="19"/>
      <c r="N210" s="19"/>
      <c r="O210" s="19"/>
      <c r="P210" s="19"/>
    </row>
    <row r="211" ht="15.75" customHeight="1">
      <c r="A211" s="27"/>
      <c r="B211" s="19"/>
      <c r="C211" s="19"/>
      <c r="D211" s="20"/>
      <c r="E211" s="21" t="str">
        <f>IF(SET!A262="","",IF(SET!I262="iScout","📱",IF(SET!I262="XSA Neo","💻","📡")))</f>
        <v/>
      </c>
      <c r="F211" s="22"/>
      <c r="G211" s="23"/>
      <c r="H211" s="24"/>
      <c r="I211" s="19"/>
      <c r="J211" s="25"/>
      <c r="K211" s="26"/>
      <c r="L211" s="24"/>
      <c r="M211" s="19"/>
      <c r="N211" s="19"/>
      <c r="O211" s="19"/>
      <c r="P211" s="19"/>
    </row>
    <row r="212" ht="15.75" customHeight="1">
      <c r="A212" s="27"/>
      <c r="B212" s="19"/>
      <c r="C212" s="19"/>
      <c r="D212" s="20"/>
      <c r="E212" s="21" t="str">
        <f>IF(SET!A263="","",IF(SET!I263="iScout","📱",IF(SET!I263="XSA Neo","💻","📡")))</f>
        <v/>
      </c>
      <c r="F212" s="22"/>
      <c r="G212" s="23"/>
      <c r="H212" s="24"/>
      <c r="I212" s="19"/>
      <c r="J212" s="25"/>
      <c r="K212" s="26"/>
      <c r="L212" s="24"/>
      <c r="M212" s="19"/>
      <c r="N212" s="19"/>
      <c r="O212" s="19"/>
      <c r="P212" s="19"/>
    </row>
    <row r="213" ht="15.75" customHeight="1">
      <c r="A213" s="27"/>
      <c r="B213" s="19"/>
      <c r="C213" s="19"/>
      <c r="D213" s="20"/>
      <c r="E213" s="21" t="str">
        <f>IF(SET!A264="","",IF(SET!I264="iScout","📱",IF(SET!I264="XSA Neo","💻","📡")))</f>
        <v/>
      </c>
      <c r="F213" s="22"/>
      <c r="G213" s="23"/>
      <c r="H213" s="24"/>
      <c r="I213" s="19"/>
      <c r="J213" s="25"/>
      <c r="K213" s="26"/>
      <c r="L213" s="24"/>
      <c r="M213" s="19"/>
      <c r="N213" s="19"/>
      <c r="O213" s="19"/>
      <c r="P213" s="19"/>
    </row>
    <row r="214" ht="15.75" customHeight="1">
      <c r="A214" s="27"/>
      <c r="B214" s="19"/>
      <c r="C214" s="19"/>
      <c r="D214" s="20"/>
      <c r="E214" s="21" t="str">
        <f>IF(SET!A265="","",IF(SET!I265="iScout","📱",IF(SET!I265="XSA Neo","💻","📡")))</f>
        <v/>
      </c>
      <c r="F214" s="22"/>
      <c r="G214" s="23"/>
      <c r="H214" s="24"/>
      <c r="I214" s="19"/>
      <c r="J214" s="25"/>
      <c r="K214" s="26"/>
      <c r="L214" s="24"/>
      <c r="M214" s="19"/>
      <c r="N214" s="19"/>
      <c r="O214" s="19"/>
      <c r="P214" s="19"/>
    </row>
    <row r="215" ht="15.75" customHeight="1">
      <c r="A215" s="27"/>
      <c r="B215" s="19"/>
      <c r="C215" s="19"/>
      <c r="D215" s="20"/>
      <c r="E215" s="21" t="str">
        <f>IF(SET!A266="","",IF(SET!I266="iScout","📱",IF(SET!I266="XSA Neo","💻","📡")))</f>
        <v/>
      </c>
      <c r="F215" s="22"/>
      <c r="G215" s="23"/>
      <c r="H215" s="24"/>
      <c r="I215" s="19"/>
      <c r="J215" s="25"/>
      <c r="K215" s="26"/>
      <c r="L215" s="24"/>
      <c r="M215" s="19"/>
      <c r="N215" s="19"/>
      <c r="O215" s="19"/>
      <c r="P215" s="19"/>
    </row>
    <row r="216" ht="15.75" customHeight="1">
      <c r="A216" s="27"/>
      <c r="B216" s="19"/>
      <c r="C216" s="19"/>
      <c r="D216" s="20"/>
      <c r="E216" s="21" t="str">
        <f>IF(SET!A267="","",IF(SET!I267="iScout","📱",IF(SET!I267="XSA Neo","💻","📡")))</f>
        <v/>
      </c>
      <c r="F216" s="22"/>
      <c r="G216" s="23"/>
      <c r="H216" s="24"/>
      <c r="I216" s="19"/>
      <c r="J216" s="25"/>
      <c r="K216" s="26"/>
      <c r="L216" s="24"/>
      <c r="M216" s="19"/>
      <c r="N216" s="19"/>
      <c r="O216" s="19"/>
      <c r="P216" s="19"/>
    </row>
    <row r="217" ht="15.75" customHeight="1">
      <c r="A217" s="27"/>
      <c r="B217" s="19"/>
      <c r="C217" s="19"/>
      <c r="D217" s="20"/>
      <c r="E217" s="21" t="str">
        <f>IF(SET!A268="","",IF(SET!I268="iScout","📱",IF(SET!I268="XSA Neo","💻","📡")))</f>
        <v/>
      </c>
      <c r="F217" s="22"/>
      <c r="G217" s="23"/>
      <c r="H217" s="24"/>
      <c r="I217" s="19"/>
      <c r="J217" s="25"/>
      <c r="K217" s="26"/>
      <c r="L217" s="24"/>
      <c r="M217" s="19"/>
      <c r="N217" s="19"/>
      <c r="O217" s="19"/>
      <c r="P217" s="19"/>
    </row>
    <row r="218" ht="15.75" customHeight="1">
      <c r="A218" s="27"/>
      <c r="B218" s="19"/>
      <c r="C218" s="19"/>
      <c r="D218" s="20"/>
      <c r="E218" s="21" t="str">
        <f>IF(SET!A269="","",IF(SET!I269="iScout","📱",IF(SET!I269="XSA Neo","💻","📡")))</f>
        <v/>
      </c>
      <c r="F218" s="22"/>
      <c r="G218" s="23"/>
      <c r="H218" s="24"/>
      <c r="I218" s="19"/>
      <c r="J218" s="25"/>
      <c r="K218" s="26"/>
      <c r="L218" s="24"/>
      <c r="M218" s="19"/>
      <c r="N218" s="19"/>
      <c r="O218" s="19"/>
      <c r="P218" s="19"/>
    </row>
    <row r="219" ht="15.75" customHeight="1">
      <c r="A219" s="27"/>
      <c r="B219" s="19"/>
      <c r="C219" s="19"/>
      <c r="D219" s="20"/>
      <c r="E219" s="21" t="str">
        <f>IF(SET!A270="","",IF(SET!I270="iScout","📱",IF(SET!I270="XSA Neo","💻","📡")))</f>
        <v/>
      </c>
      <c r="F219" s="22"/>
      <c r="G219" s="23"/>
      <c r="H219" s="24"/>
      <c r="I219" s="19"/>
      <c r="J219" s="25"/>
      <c r="K219" s="26"/>
      <c r="L219" s="24"/>
      <c r="M219" s="19"/>
      <c r="N219" s="19"/>
      <c r="O219" s="19"/>
      <c r="P219" s="19"/>
    </row>
    <row r="220" ht="15.75" customHeight="1">
      <c r="A220" s="27"/>
      <c r="B220" s="19"/>
      <c r="C220" s="19"/>
      <c r="D220" s="20"/>
      <c r="E220" s="21" t="str">
        <f>IF(SET!A271="","",IF(SET!I271="iScout","📱",IF(SET!I271="XSA Neo","💻","📡")))</f>
        <v>📡</v>
      </c>
      <c r="F220" s="22"/>
      <c r="G220" s="23"/>
      <c r="H220" s="24"/>
      <c r="I220" s="19"/>
      <c r="J220" s="25"/>
      <c r="K220" s="26"/>
      <c r="L220" s="24"/>
      <c r="M220" s="19"/>
      <c r="N220" s="19"/>
      <c r="O220" s="19"/>
      <c r="P220" s="19"/>
    </row>
    <row r="221" ht="15.75" customHeight="1">
      <c r="A221" s="27"/>
      <c r="B221" s="19"/>
      <c r="C221" s="19"/>
      <c r="D221" s="20"/>
      <c r="E221" s="21" t="str">
        <f>IF(SET!A272="","",IF(SET!I272="iScout","📱",IF(SET!I272="XSA Neo","💻","📡")))</f>
        <v/>
      </c>
      <c r="F221" s="22"/>
      <c r="G221" s="23"/>
      <c r="H221" s="24"/>
      <c r="I221" s="19"/>
      <c r="J221" s="25"/>
      <c r="K221" s="26"/>
      <c r="L221" s="24"/>
      <c r="M221" s="19"/>
      <c r="N221" s="19"/>
      <c r="O221" s="19"/>
      <c r="P221" s="19"/>
    </row>
    <row r="222" ht="15.75" customHeight="1">
      <c r="A222" s="27"/>
      <c r="B222" s="19"/>
      <c r="C222" s="19"/>
      <c r="D222" s="20"/>
      <c r="E222" s="21" t="str">
        <f>IF(SET!A273="","",IF(SET!I273="iScout","📱",IF(SET!I273="XSA Neo","💻","📡")))</f>
        <v/>
      </c>
      <c r="F222" s="22"/>
      <c r="G222" s="23"/>
      <c r="H222" s="24"/>
      <c r="I222" s="19"/>
      <c r="J222" s="25"/>
      <c r="K222" s="26"/>
      <c r="L222" s="24"/>
      <c r="M222" s="19"/>
      <c r="N222" s="19"/>
      <c r="O222" s="19"/>
      <c r="P222" s="19"/>
    </row>
    <row r="223" ht="15.75" customHeight="1">
      <c r="A223" s="27"/>
      <c r="B223" s="19"/>
      <c r="C223" s="19"/>
      <c r="D223" s="20"/>
      <c r="E223" s="21" t="str">
        <f>IF(SET!A274="","",IF(SET!I274="iScout","📱",IF(SET!I274="XSA Neo","💻","📡")))</f>
        <v/>
      </c>
      <c r="F223" s="22"/>
      <c r="G223" s="23"/>
      <c r="H223" s="24"/>
      <c r="I223" s="19"/>
      <c r="J223" s="25"/>
      <c r="K223" s="26"/>
      <c r="L223" s="24"/>
      <c r="M223" s="19"/>
      <c r="N223" s="19"/>
      <c r="O223" s="19"/>
      <c r="P223" s="19"/>
    </row>
    <row r="224" ht="15.75" customHeight="1">
      <c r="A224" s="27"/>
      <c r="B224" s="19"/>
      <c r="C224" s="19"/>
      <c r="D224" s="20"/>
      <c r="E224" s="21" t="str">
        <f>IF(SET!A275="","",IF(SET!I275="iScout","📱",IF(SET!I275="XSA Neo","💻","📡")))</f>
        <v/>
      </c>
      <c r="F224" s="22"/>
      <c r="G224" s="23"/>
      <c r="H224" s="24"/>
      <c r="I224" s="19"/>
      <c r="J224" s="25"/>
      <c r="K224" s="26"/>
      <c r="L224" s="24"/>
      <c r="M224" s="19"/>
      <c r="N224" s="19"/>
      <c r="O224" s="19"/>
      <c r="P224" s="19"/>
    </row>
    <row r="225" ht="15.75" customHeight="1">
      <c r="A225" s="27"/>
      <c r="B225" s="19"/>
      <c r="C225" s="19"/>
      <c r="D225" s="20"/>
      <c r="E225" s="21" t="str">
        <f>IF(SET!A276="","",IF(SET!I276="iScout","📱",IF(SET!I276="XSA Neo","💻","📡")))</f>
        <v/>
      </c>
      <c r="F225" s="22"/>
      <c r="G225" s="23"/>
      <c r="H225" s="24"/>
      <c r="I225" s="19"/>
      <c r="J225" s="25"/>
      <c r="K225" s="26"/>
      <c r="L225" s="24"/>
      <c r="M225" s="19"/>
      <c r="N225" s="19"/>
      <c r="O225" s="19"/>
      <c r="P225" s="19"/>
    </row>
    <row r="226" ht="15.75" customHeight="1">
      <c r="A226" s="27"/>
      <c r="B226" s="19"/>
      <c r="C226" s="19"/>
      <c r="D226" s="20"/>
      <c r="E226" s="21" t="str">
        <f>IF(SET!A277="","",IF(SET!I277="iScout","📱",IF(SET!I277="XSA Neo","💻","📡")))</f>
        <v/>
      </c>
      <c r="F226" s="22"/>
      <c r="G226" s="23"/>
      <c r="H226" s="24"/>
      <c r="I226" s="19"/>
      <c r="J226" s="25"/>
      <c r="K226" s="26"/>
      <c r="L226" s="24"/>
      <c r="M226" s="19"/>
      <c r="N226" s="19"/>
      <c r="O226" s="19"/>
      <c r="P226" s="19"/>
    </row>
    <row r="227" ht="15.75" customHeight="1">
      <c r="A227" s="27"/>
      <c r="B227" s="19"/>
      <c r="C227" s="19"/>
      <c r="D227" s="20"/>
      <c r="E227" s="21" t="str">
        <f>IF(SET!A278="","",IF(SET!I278="iScout","📱",IF(SET!I278="XSA Neo","💻","📡")))</f>
        <v/>
      </c>
      <c r="F227" s="22"/>
      <c r="G227" s="23"/>
      <c r="H227" s="24"/>
      <c r="I227" s="19"/>
      <c r="J227" s="25"/>
      <c r="K227" s="26"/>
      <c r="L227" s="24"/>
      <c r="M227" s="19"/>
      <c r="N227" s="19"/>
      <c r="O227" s="19"/>
      <c r="P227" s="19"/>
    </row>
    <row r="228" ht="15.75" customHeight="1">
      <c r="A228" s="27"/>
      <c r="B228" s="19"/>
      <c r="C228" s="19"/>
      <c r="D228" s="20"/>
      <c r="E228" s="21" t="str">
        <f>IF(SET!A279="","",IF(SET!I279="iScout","📱",IF(SET!I279="XSA Neo","💻","📡")))</f>
        <v/>
      </c>
      <c r="F228" s="22"/>
      <c r="G228" s="23"/>
      <c r="H228" s="24"/>
      <c r="I228" s="19"/>
      <c r="J228" s="25"/>
      <c r="K228" s="26"/>
      <c r="L228" s="24"/>
      <c r="M228" s="19"/>
      <c r="N228" s="19"/>
      <c r="O228" s="19"/>
      <c r="P228" s="19"/>
    </row>
    <row r="229" ht="15.75" customHeight="1">
      <c r="A229" s="27"/>
      <c r="B229" s="19"/>
      <c r="C229" s="19"/>
      <c r="D229" s="20"/>
      <c r="E229" s="21" t="str">
        <f>IF(SET!A280="","",IF(SET!I280="iScout","📱",IF(SET!I280="XSA Neo","💻","📡")))</f>
        <v/>
      </c>
      <c r="F229" s="22"/>
      <c r="G229" s="23"/>
      <c r="H229" s="24"/>
      <c r="I229" s="19"/>
      <c r="J229" s="25"/>
      <c r="K229" s="26"/>
      <c r="L229" s="24"/>
      <c r="M229" s="19"/>
      <c r="N229" s="19"/>
      <c r="O229" s="19"/>
      <c r="P229" s="19"/>
    </row>
    <row r="230" ht="15.75" customHeight="1">
      <c r="A230" s="27"/>
      <c r="B230" s="19"/>
      <c r="C230" s="19"/>
      <c r="D230" s="20"/>
      <c r="E230" s="21" t="str">
        <f>IF(SET!A281="","",IF(SET!I281="iScout","📱",IF(SET!I281="XSA Neo","💻","📡")))</f>
        <v/>
      </c>
      <c r="F230" s="22"/>
      <c r="G230" s="23"/>
      <c r="H230" s="24"/>
      <c r="I230" s="19"/>
      <c r="J230" s="25"/>
      <c r="K230" s="26"/>
      <c r="L230" s="24"/>
      <c r="M230" s="19"/>
      <c r="N230" s="19"/>
      <c r="O230" s="19"/>
      <c r="P230" s="19"/>
    </row>
    <row r="231" ht="15.75" customHeight="1">
      <c r="A231" s="27"/>
      <c r="B231" s="19"/>
      <c r="C231" s="19"/>
      <c r="D231" s="20"/>
      <c r="E231" s="21" t="str">
        <f>IF(SET!A282="","",IF(SET!I282="iScout","📱",IF(SET!I282="XSA Neo","💻","📡")))</f>
        <v/>
      </c>
      <c r="F231" s="22"/>
      <c r="G231" s="23"/>
      <c r="H231" s="24"/>
      <c r="I231" s="19"/>
      <c r="J231" s="25"/>
      <c r="K231" s="26"/>
      <c r="L231" s="24"/>
      <c r="M231" s="19"/>
      <c r="N231" s="19"/>
      <c r="O231" s="19"/>
      <c r="P231" s="19"/>
    </row>
    <row r="232" ht="15.75" customHeight="1">
      <c r="A232" s="27"/>
      <c r="B232" s="19"/>
      <c r="C232" s="19"/>
      <c r="D232" s="20"/>
      <c r="E232" s="21" t="str">
        <f>IF(SET!A283="","",IF(SET!I283="iScout","📱",IF(SET!I283="XSA Neo","💻","📡")))</f>
        <v/>
      </c>
      <c r="F232" s="22"/>
      <c r="G232" s="23"/>
      <c r="H232" s="24"/>
      <c r="I232" s="19"/>
      <c r="J232" s="25"/>
      <c r="K232" s="26"/>
      <c r="L232" s="24"/>
      <c r="M232" s="19"/>
      <c r="N232" s="19"/>
      <c r="O232" s="19"/>
      <c r="P232" s="19"/>
    </row>
    <row r="233" ht="15.75" customHeight="1">
      <c r="A233" s="27"/>
      <c r="B233" s="19"/>
      <c r="C233" s="19"/>
      <c r="D233" s="20"/>
      <c r="E233" s="21" t="str">
        <f>IF(SET!A284="","",IF(SET!I284="iScout","📱",IF(SET!I284="XSA Neo","💻","📡")))</f>
        <v/>
      </c>
      <c r="F233" s="22"/>
      <c r="G233" s="23"/>
      <c r="H233" s="24"/>
      <c r="I233" s="19"/>
      <c r="J233" s="25"/>
      <c r="K233" s="26"/>
      <c r="L233" s="24"/>
      <c r="M233" s="19"/>
      <c r="N233" s="19"/>
      <c r="O233" s="19"/>
      <c r="P233" s="19"/>
    </row>
    <row r="234" ht="15.75" customHeight="1">
      <c r="A234" s="27"/>
      <c r="B234" s="19"/>
      <c r="C234" s="19"/>
      <c r="D234" s="20"/>
      <c r="E234" s="21" t="str">
        <f>IF(SET!A285="","",IF(SET!I285="iScout","📱",IF(SET!I285="XSA Neo","💻","📡")))</f>
        <v/>
      </c>
      <c r="F234" s="22"/>
      <c r="G234" s="23"/>
      <c r="H234" s="24"/>
      <c r="I234" s="19"/>
      <c r="J234" s="25"/>
      <c r="K234" s="26"/>
      <c r="L234" s="24"/>
      <c r="M234" s="19"/>
      <c r="N234" s="19"/>
      <c r="O234" s="19"/>
      <c r="P234" s="19"/>
    </row>
    <row r="235" ht="15.75" customHeight="1">
      <c r="A235" s="27"/>
      <c r="B235" s="19"/>
      <c r="C235" s="19"/>
      <c r="D235" s="20"/>
      <c r="E235" s="21" t="str">
        <f>IF(SET!A286="","",IF(SET!I286="iScout","📱",IF(SET!I286="XSA Neo","💻","📡")))</f>
        <v/>
      </c>
      <c r="F235" s="22"/>
      <c r="G235" s="23"/>
      <c r="H235" s="24"/>
      <c r="I235" s="19"/>
      <c r="J235" s="25"/>
      <c r="K235" s="26"/>
      <c r="L235" s="24"/>
      <c r="M235" s="19"/>
      <c r="N235" s="19"/>
      <c r="O235" s="19"/>
      <c r="P235" s="19"/>
    </row>
    <row r="236" ht="15.75" customHeight="1">
      <c r="A236" s="27"/>
      <c r="B236" s="19"/>
      <c r="C236" s="19"/>
      <c r="D236" s="20"/>
      <c r="E236" s="21" t="str">
        <f>IF(SET!A287="","",IF(SET!I287="iScout","📱",IF(SET!I287="XSA Neo","💻","📡")))</f>
        <v/>
      </c>
      <c r="F236" s="22"/>
      <c r="G236" s="23"/>
      <c r="H236" s="24"/>
      <c r="I236" s="19"/>
      <c r="J236" s="25"/>
      <c r="K236" s="26"/>
      <c r="L236" s="24"/>
      <c r="M236" s="19"/>
      <c r="N236" s="19"/>
      <c r="O236" s="19"/>
      <c r="P236" s="19"/>
    </row>
    <row r="237" ht="15.75" customHeight="1">
      <c r="A237" s="27"/>
      <c r="B237" s="19"/>
      <c r="C237" s="19"/>
      <c r="D237" s="20"/>
      <c r="E237" s="21" t="str">
        <f>IF(SET!A288="","",IF(SET!I288="iScout","📱",IF(SET!I288="XSA Neo","💻","📡")))</f>
        <v/>
      </c>
      <c r="F237" s="22"/>
      <c r="G237" s="23"/>
      <c r="H237" s="24"/>
      <c r="I237" s="19"/>
      <c r="J237" s="25"/>
      <c r="K237" s="26"/>
      <c r="L237" s="24"/>
      <c r="M237" s="19"/>
      <c r="N237" s="19"/>
      <c r="O237" s="19"/>
      <c r="P237" s="19"/>
    </row>
    <row r="238" ht="15.75" customHeight="1">
      <c r="A238" s="27"/>
      <c r="B238" s="19"/>
      <c r="C238" s="19"/>
      <c r="D238" s="20"/>
      <c r="E238" s="21" t="str">
        <f>IF(SET!A289="","",IF(SET!I289="iScout","📱",IF(SET!I289="XSA Neo","💻","📡")))</f>
        <v/>
      </c>
      <c r="F238" s="22"/>
      <c r="G238" s="23"/>
      <c r="H238" s="24"/>
      <c r="I238" s="19"/>
      <c r="J238" s="25"/>
      <c r="K238" s="26"/>
      <c r="L238" s="24"/>
      <c r="M238" s="19"/>
      <c r="N238" s="19"/>
      <c r="O238" s="19"/>
      <c r="P238" s="19"/>
    </row>
    <row r="239" ht="15.75" customHeight="1">
      <c r="A239" s="27"/>
      <c r="B239" s="19"/>
      <c r="C239" s="19"/>
      <c r="D239" s="20"/>
      <c r="E239" s="21" t="str">
        <f>IF(SET!A290="","",IF(SET!I290="iScout","📱",IF(SET!I290="XSA Neo","💻","📡")))</f>
        <v/>
      </c>
      <c r="F239" s="22"/>
      <c r="G239" s="23"/>
      <c r="H239" s="24"/>
      <c r="I239" s="19"/>
      <c r="J239" s="25"/>
      <c r="K239" s="26"/>
      <c r="L239" s="24"/>
      <c r="M239" s="19"/>
      <c r="N239" s="19"/>
      <c r="O239" s="19"/>
      <c r="P239" s="19"/>
    </row>
    <row r="240" ht="15.75" customHeight="1">
      <c r="A240" s="27"/>
      <c r="B240" s="19"/>
      <c r="C240" s="19"/>
      <c r="D240" s="20"/>
      <c r="E240" s="21" t="str">
        <f>IF(SET!A291="","",IF(SET!I291="iScout","📱",IF(SET!I291="XSA Neo","💻","📡")))</f>
        <v/>
      </c>
      <c r="F240" s="22"/>
      <c r="G240" s="23"/>
      <c r="H240" s="24"/>
      <c r="I240" s="19"/>
      <c r="J240" s="25"/>
      <c r="K240" s="26"/>
      <c r="L240" s="24"/>
      <c r="M240" s="19"/>
      <c r="N240" s="19"/>
      <c r="O240" s="19"/>
      <c r="P240" s="19"/>
    </row>
    <row r="241" ht="15.75" customHeight="1">
      <c r="A241" s="27"/>
      <c r="B241" s="19"/>
      <c r="C241" s="19"/>
      <c r="D241" s="20"/>
      <c r="E241" s="21" t="str">
        <f>IF(SET!A292="","",IF(SET!I292="iScout","📱",IF(SET!I292="XSA Neo","💻","📡")))</f>
        <v/>
      </c>
      <c r="F241" s="22"/>
      <c r="G241" s="23"/>
      <c r="H241" s="24"/>
      <c r="I241" s="19"/>
      <c r="J241" s="25"/>
      <c r="K241" s="26"/>
      <c r="L241" s="24"/>
      <c r="M241" s="19"/>
      <c r="N241" s="19"/>
      <c r="O241" s="19"/>
      <c r="P241" s="19"/>
    </row>
    <row r="242" ht="15.75" customHeight="1">
      <c r="A242" s="27"/>
      <c r="B242" s="19"/>
      <c r="C242" s="19"/>
      <c r="D242" s="20"/>
      <c r="E242" s="21" t="str">
        <f>IF(SET!A293="","",IF(SET!I293="iScout","📱",IF(SET!I293="XSA Neo","💻","📡")))</f>
        <v/>
      </c>
      <c r="F242" s="22"/>
      <c r="G242" s="23"/>
      <c r="H242" s="24"/>
      <c r="I242" s="19"/>
      <c r="J242" s="25"/>
      <c r="K242" s="26"/>
      <c r="L242" s="24"/>
      <c r="M242" s="19"/>
      <c r="N242" s="19"/>
      <c r="O242" s="19"/>
      <c r="P242" s="19"/>
    </row>
    <row r="243" ht="15.75" customHeight="1">
      <c r="A243" s="27"/>
      <c r="B243" s="19"/>
      <c r="C243" s="19"/>
      <c r="D243" s="20"/>
      <c r="E243" s="21" t="str">
        <f>IF(SET!A294="","",IF(SET!I294="iScout","📱",IF(SET!I294="XSA Neo","💻","📡")))</f>
        <v/>
      </c>
      <c r="F243" s="22"/>
      <c r="G243" s="23"/>
      <c r="H243" s="24"/>
      <c r="I243" s="19"/>
      <c r="J243" s="25"/>
      <c r="K243" s="26"/>
      <c r="L243" s="24"/>
      <c r="M243" s="19"/>
      <c r="N243" s="19"/>
      <c r="O243" s="19"/>
      <c r="P243" s="19"/>
    </row>
    <row r="244" ht="15.75" customHeight="1">
      <c r="A244" s="27"/>
      <c r="B244" s="19"/>
      <c r="C244" s="19"/>
      <c r="D244" s="20"/>
      <c r="E244" s="21" t="str">
        <f>IF(SET!A295="","",IF(SET!I295="iScout","📱",IF(SET!I295="XSA Neo","💻","📡")))</f>
        <v/>
      </c>
      <c r="F244" s="22"/>
      <c r="G244" s="23"/>
      <c r="H244" s="24"/>
      <c r="I244" s="19"/>
      <c r="J244" s="25"/>
      <c r="K244" s="26"/>
      <c r="L244" s="24"/>
      <c r="M244" s="19"/>
      <c r="N244" s="19"/>
      <c r="O244" s="19"/>
      <c r="P244" s="19"/>
    </row>
    <row r="245" ht="15.75" customHeight="1">
      <c r="A245" s="27"/>
      <c r="B245" s="19"/>
      <c r="C245" s="19"/>
      <c r="D245" s="20"/>
      <c r="E245" s="21" t="str">
        <f>IF(SET!A296="","",IF(SET!I296="iScout","📱",IF(SET!I296="XSA Neo","💻","📡")))</f>
        <v/>
      </c>
      <c r="F245" s="22"/>
      <c r="G245" s="23"/>
      <c r="H245" s="24"/>
      <c r="I245" s="19"/>
      <c r="J245" s="25"/>
      <c r="K245" s="26"/>
      <c r="L245" s="24"/>
      <c r="M245" s="19"/>
      <c r="N245" s="19"/>
      <c r="O245" s="19"/>
      <c r="P245" s="19"/>
    </row>
    <row r="246" ht="15.75" customHeight="1">
      <c r="A246" s="27"/>
      <c r="B246" s="19"/>
      <c r="C246" s="19"/>
      <c r="D246" s="20"/>
      <c r="E246" s="21" t="str">
        <f>IF(SET!A297="","",IF(SET!I297="iScout","📱",IF(SET!I297="XSA Neo","💻","📡")))</f>
        <v/>
      </c>
      <c r="F246" s="22"/>
      <c r="G246" s="23"/>
      <c r="H246" s="24"/>
      <c r="I246" s="19"/>
      <c r="J246" s="25"/>
      <c r="K246" s="26"/>
      <c r="L246" s="24"/>
      <c r="M246" s="19"/>
      <c r="N246" s="19"/>
      <c r="O246" s="19"/>
      <c r="P246" s="19"/>
    </row>
    <row r="247" ht="15.75" customHeight="1">
      <c r="A247" s="27"/>
      <c r="B247" s="19"/>
      <c r="C247" s="19"/>
      <c r="D247" s="20"/>
      <c r="E247" s="21" t="str">
        <f>IF(SET!A298="","",IF(SET!I298="iScout","📱",IF(SET!I298="XSA Neo","💻","📡")))</f>
        <v/>
      </c>
      <c r="F247" s="22"/>
      <c r="G247" s="23"/>
      <c r="H247" s="24"/>
      <c r="I247" s="19"/>
      <c r="J247" s="25"/>
      <c r="K247" s="26"/>
      <c r="L247" s="24"/>
      <c r="M247" s="19"/>
      <c r="N247" s="19"/>
      <c r="O247" s="19"/>
      <c r="P247" s="19"/>
    </row>
    <row r="248" ht="15.75" customHeight="1">
      <c r="A248" s="27"/>
      <c r="B248" s="19"/>
      <c r="C248" s="19"/>
      <c r="D248" s="20"/>
      <c r="E248" s="21" t="str">
        <f>IF(SET!A299="","",IF(SET!I299="iScout","📱",IF(SET!I299="XSA Neo","💻","📡")))</f>
        <v/>
      </c>
      <c r="F248" s="22"/>
      <c r="G248" s="23"/>
      <c r="H248" s="24"/>
      <c r="I248" s="19"/>
      <c r="J248" s="25"/>
      <c r="K248" s="26"/>
      <c r="L248" s="24"/>
      <c r="M248" s="19"/>
      <c r="N248" s="19"/>
      <c r="O248" s="19"/>
      <c r="P248" s="19"/>
    </row>
    <row r="249" ht="15.75" customHeight="1">
      <c r="A249" s="27"/>
      <c r="B249" s="19"/>
      <c r="C249" s="19"/>
      <c r="D249" s="20"/>
      <c r="E249" s="21" t="str">
        <f>IF(SET!A300="","",IF(SET!I300="iScout","📱",IF(SET!I300="XSA Neo","💻","📡")))</f>
        <v/>
      </c>
      <c r="F249" s="22"/>
      <c r="G249" s="23"/>
      <c r="H249" s="24"/>
      <c r="I249" s="19"/>
      <c r="J249" s="25"/>
      <c r="K249" s="26"/>
      <c r="L249" s="24"/>
      <c r="M249" s="19"/>
      <c r="N249" s="19"/>
      <c r="O249" s="19"/>
      <c r="P249" s="19"/>
    </row>
    <row r="250" ht="15.75" customHeight="1">
      <c r="A250" s="27"/>
      <c r="B250" s="19"/>
      <c r="C250" s="19"/>
      <c r="D250" s="20"/>
      <c r="E250" s="21" t="str">
        <f>IF(SET!A301="","",IF(SET!I301="iScout","📱",IF(SET!I301="XSA Neo","💻","📡")))</f>
        <v/>
      </c>
      <c r="F250" s="22"/>
      <c r="G250" s="23"/>
      <c r="H250" s="24"/>
      <c r="I250" s="19"/>
      <c r="J250" s="25"/>
      <c r="K250" s="26"/>
      <c r="L250" s="24"/>
      <c r="M250" s="19"/>
      <c r="N250" s="19"/>
      <c r="O250" s="19"/>
      <c r="P250" s="19"/>
    </row>
    <row r="251" ht="15.75" customHeight="1">
      <c r="A251" s="27"/>
      <c r="B251" s="19"/>
      <c r="C251" s="19"/>
      <c r="D251" s="20"/>
      <c r="E251" s="21" t="str">
        <f>IF(SET!A302="","",IF(SET!I302="iScout","📱",IF(SET!I302="XSA Neo","💻","📡")))</f>
        <v/>
      </c>
      <c r="F251" s="22"/>
      <c r="G251" s="23"/>
      <c r="H251" s="24"/>
      <c r="I251" s="19"/>
      <c r="J251" s="25"/>
      <c r="K251" s="26"/>
      <c r="L251" s="24"/>
      <c r="M251" s="19"/>
      <c r="N251" s="19"/>
      <c r="O251" s="19"/>
      <c r="P251" s="19"/>
    </row>
    <row r="252" ht="15.75" customHeight="1">
      <c r="A252" s="27"/>
      <c r="B252" s="19"/>
      <c r="C252" s="19"/>
      <c r="D252" s="20"/>
      <c r="E252" s="21" t="str">
        <f>IF(SET!A303="","",IF(SET!I303="iScout","📱",IF(SET!I303="XSA Neo","💻","📡")))</f>
        <v/>
      </c>
      <c r="F252" s="22"/>
      <c r="G252" s="23"/>
      <c r="H252" s="24"/>
      <c r="I252" s="19"/>
      <c r="J252" s="25"/>
      <c r="K252" s="26"/>
      <c r="L252" s="24"/>
      <c r="M252" s="19"/>
      <c r="N252" s="19"/>
      <c r="O252" s="19"/>
      <c r="P252" s="19"/>
    </row>
    <row r="253" ht="15.75" customHeight="1">
      <c r="A253" s="27"/>
      <c r="B253" s="19"/>
      <c r="C253" s="19"/>
      <c r="D253" s="20"/>
      <c r="E253" s="21" t="str">
        <f>IF(SET!A304="","",IF(SET!I304="iScout","📱",IF(SET!I304="XSA Neo","💻","📡")))</f>
        <v/>
      </c>
      <c r="F253" s="22"/>
      <c r="G253" s="23"/>
      <c r="H253" s="24"/>
      <c r="I253" s="19"/>
      <c r="J253" s="25"/>
      <c r="K253" s="26"/>
      <c r="L253" s="24"/>
      <c r="M253" s="19"/>
      <c r="N253" s="19"/>
      <c r="O253" s="19"/>
      <c r="P253" s="19"/>
    </row>
    <row r="254" ht="15.75" customHeight="1">
      <c r="A254" s="27"/>
      <c r="B254" s="19"/>
      <c r="C254" s="19"/>
      <c r="D254" s="20"/>
      <c r="E254" s="21" t="str">
        <f>IF(SET!A305="","",IF(SET!I305="iScout","📱",IF(SET!I305="XSA Neo","💻","📡")))</f>
        <v/>
      </c>
      <c r="F254" s="22"/>
      <c r="G254" s="23"/>
      <c r="H254" s="24"/>
      <c r="I254" s="19"/>
      <c r="J254" s="25"/>
      <c r="K254" s="26"/>
      <c r="L254" s="24"/>
      <c r="M254" s="19"/>
      <c r="N254" s="19"/>
      <c r="O254" s="19"/>
      <c r="P254" s="19"/>
    </row>
    <row r="255" ht="15.75" customHeight="1">
      <c r="A255" s="27"/>
      <c r="B255" s="19"/>
      <c r="C255" s="19"/>
      <c r="D255" s="20"/>
      <c r="E255" s="21" t="str">
        <f>IF(SET!A306="","",IF(SET!I306="iScout","📱",IF(SET!I306="XSA Neo","💻","📡")))</f>
        <v/>
      </c>
      <c r="F255" s="22"/>
      <c r="G255" s="23"/>
      <c r="H255" s="24"/>
      <c r="I255" s="19"/>
      <c r="J255" s="25"/>
      <c r="K255" s="26"/>
      <c r="L255" s="24"/>
      <c r="M255" s="19"/>
      <c r="N255" s="19"/>
      <c r="O255" s="19"/>
      <c r="P255" s="19"/>
    </row>
    <row r="256" ht="15.75" customHeight="1">
      <c r="A256" s="27"/>
      <c r="B256" s="19"/>
      <c r="C256" s="19"/>
      <c r="D256" s="20"/>
      <c r="E256" s="21" t="str">
        <f>IF(SET!A307="","",IF(SET!I307="iScout","📱",IF(SET!I307="XSA Neo","💻","📡")))</f>
        <v/>
      </c>
      <c r="F256" s="22"/>
      <c r="G256" s="23"/>
      <c r="H256" s="24"/>
      <c r="I256" s="19"/>
      <c r="J256" s="25"/>
      <c r="K256" s="26"/>
      <c r="L256" s="24"/>
      <c r="M256" s="19"/>
      <c r="N256" s="19"/>
      <c r="O256" s="19"/>
      <c r="P256" s="19"/>
    </row>
    <row r="257" ht="15.75" customHeight="1">
      <c r="A257" s="27"/>
      <c r="B257" s="19"/>
      <c r="C257" s="19"/>
      <c r="D257" s="20"/>
      <c r="E257" s="21" t="str">
        <f>IF(SET!A308="","",IF(SET!I308="iScout","📱",IF(SET!I308="XSA Neo","💻","📡")))</f>
        <v/>
      </c>
      <c r="F257" s="22"/>
      <c r="G257" s="23"/>
      <c r="H257" s="24"/>
      <c r="I257" s="19"/>
      <c r="J257" s="25"/>
      <c r="K257" s="26"/>
      <c r="L257" s="24"/>
      <c r="M257" s="19"/>
      <c r="N257" s="19"/>
      <c r="O257" s="19"/>
      <c r="P257" s="19"/>
    </row>
    <row r="258" ht="15.75" customHeight="1">
      <c r="A258" s="27"/>
      <c r="B258" s="19"/>
      <c r="C258" s="19"/>
      <c r="D258" s="20"/>
      <c r="E258" s="21" t="str">
        <f>IF(SET!A309="","",IF(SET!I309="iScout","📱",IF(SET!I309="XSA Neo","💻","📡")))</f>
        <v/>
      </c>
      <c r="F258" s="22"/>
      <c r="G258" s="23"/>
      <c r="H258" s="24"/>
      <c r="I258" s="19"/>
      <c r="J258" s="25"/>
      <c r="K258" s="26"/>
      <c r="L258" s="24"/>
      <c r="M258" s="19"/>
      <c r="N258" s="19"/>
      <c r="O258" s="19"/>
      <c r="P258" s="19"/>
    </row>
    <row r="259" ht="15.75" customHeight="1">
      <c r="A259" s="27"/>
      <c r="B259" s="19"/>
      <c r="C259" s="19"/>
      <c r="D259" s="20"/>
      <c r="E259" s="21" t="str">
        <f>IF(SET!A310="","",IF(SET!I310="iScout","📱",IF(SET!I310="XSA Neo","💻","📡")))</f>
        <v/>
      </c>
      <c r="F259" s="22"/>
      <c r="G259" s="23"/>
      <c r="H259" s="24"/>
      <c r="I259" s="19"/>
      <c r="J259" s="25"/>
      <c r="K259" s="26"/>
      <c r="L259" s="24"/>
      <c r="M259" s="19"/>
      <c r="N259" s="19"/>
      <c r="O259" s="19"/>
      <c r="P259" s="19"/>
    </row>
    <row r="260" ht="15.75" customHeight="1">
      <c r="A260" s="27"/>
      <c r="B260" s="19"/>
      <c r="C260" s="19"/>
      <c r="D260" s="20"/>
      <c r="E260" s="21" t="str">
        <f>IF(SET!A311="","",IF(SET!I311="iScout","📱",IF(SET!I311="XSA Neo","💻","📡")))</f>
        <v/>
      </c>
      <c r="F260" s="22"/>
      <c r="G260" s="23"/>
      <c r="H260" s="24"/>
      <c r="I260" s="19"/>
      <c r="J260" s="25"/>
      <c r="K260" s="26"/>
      <c r="L260" s="24"/>
      <c r="M260" s="19"/>
      <c r="N260" s="19"/>
      <c r="O260" s="19"/>
      <c r="P260" s="19"/>
    </row>
    <row r="261" ht="15.75" customHeight="1">
      <c r="A261" s="27"/>
      <c r="B261" s="19"/>
      <c r="C261" s="19"/>
      <c r="D261" s="20"/>
      <c r="E261" s="21" t="str">
        <f>IF(SET!A312="","",IF(SET!I312="iScout","📱",IF(SET!I312="XSA Neo","💻","📡")))</f>
        <v/>
      </c>
      <c r="F261" s="22"/>
      <c r="G261" s="23"/>
      <c r="H261" s="24"/>
      <c r="I261" s="19"/>
      <c r="J261" s="25"/>
      <c r="K261" s="26"/>
      <c r="L261" s="24"/>
      <c r="M261" s="19"/>
      <c r="N261" s="19"/>
      <c r="O261" s="19"/>
      <c r="P261" s="19"/>
    </row>
    <row r="262" ht="15.75" customHeight="1">
      <c r="A262" s="27"/>
      <c r="B262" s="19"/>
      <c r="C262" s="19"/>
      <c r="D262" s="20"/>
      <c r="E262" s="21" t="str">
        <f>IF(SET!A313="","",IF(SET!I313="iScout","📱",IF(SET!I313="XSA Neo","💻","📡")))</f>
        <v/>
      </c>
      <c r="F262" s="22"/>
      <c r="G262" s="23"/>
      <c r="H262" s="24"/>
      <c r="I262" s="19"/>
      <c r="J262" s="25"/>
      <c r="K262" s="26"/>
      <c r="L262" s="24"/>
      <c r="M262" s="19"/>
      <c r="N262" s="19"/>
      <c r="O262" s="19"/>
      <c r="P262" s="19"/>
    </row>
    <row r="263" ht="15.75" customHeight="1">
      <c r="A263" s="27"/>
      <c r="B263" s="19"/>
      <c r="C263" s="19"/>
      <c r="D263" s="20"/>
      <c r="E263" s="21" t="str">
        <f>IF(SET!A314="","",IF(SET!I314="iScout","📱",IF(SET!I314="XSA Neo","💻","📡")))</f>
        <v/>
      </c>
      <c r="F263" s="22"/>
      <c r="G263" s="23"/>
      <c r="H263" s="24"/>
      <c r="I263" s="19"/>
      <c r="J263" s="25"/>
      <c r="K263" s="26"/>
      <c r="L263" s="24"/>
      <c r="M263" s="19"/>
      <c r="N263" s="19"/>
      <c r="O263" s="19"/>
      <c r="P263" s="19"/>
    </row>
    <row r="264" ht="15.75" customHeight="1">
      <c r="A264" s="27"/>
      <c r="B264" s="19"/>
      <c r="C264" s="19"/>
      <c r="D264" s="20"/>
      <c r="E264" s="21" t="str">
        <f>IF(SET!A315="","",IF(SET!I315="iScout","📱",IF(SET!I315="XSA Neo","💻","📡")))</f>
        <v/>
      </c>
      <c r="F264" s="22"/>
      <c r="G264" s="23"/>
      <c r="H264" s="24"/>
      <c r="I264" s="19"/>
      <c r="J264" s="25"/>
      <c r="K264" s="26"/>
      <c r="L264" s="24"/>
      <c r="M264" s="19"/>
      <c r="N264" s="19"/>
      <c r="O264" s="19"/>
      <c r="P264" s="19"/>
    </row>
    <row r="265" ht="15.75" customHeight="1">
      <c r="A265" s="27"/>
      <c r="B265" s="19"/>
      <c r="C265" s="19"/>
      <c r="D265" s="20"/>
      <c r="E265" s="21" t="str">
        <f>IF(SET!A316="","",IF(SET!I316="iScout","📱",IF(SET!I316="XSA Neo","💻","📡")))</f>
        <v/>
      </c>
      <c r="F265" s="22"/>
      <c r="G265" s="23"/>
      <c r="H265" s="24"/>
      <c r="I265" s="19"/>
      <c r="J265" s="25"/>
      <c r="K265" s="26"/>
      <c r="L265" s="24"/>
      <c r="M265" s="19"/>
      <c r="N265" s="19"/>
      <c r="O265" s="19"/>
      <c r="P265" s="19"/>
    </row>
    <row r="266" ht="15.75" customHeight="1">
      <c r="A266" s="27"/>
      <c r="B266" s="19"/>
      <c r="C266" s="19"/>
      <c r="D266" s="20"/>
      <c r="E266" s="21" t="str">
        <f>IF(SET!A317="","",IF(SET!I317="iScout","📱",IF(SET!I317="XSA Neo","💻","📡")))</f>
        <v/>
      </c>
      <c r="F266" s="22"/>
      <c r="G266" s="23"/>
      <c r="H266" s="24"/>
      <c r="I266" s="19"/>
      <c r="J266" s="25"/>
      <c r="K266" s="26"/>
      <c r="L266" s="24"/>
      <c r="M266" s="19"/>
      <c r="N266" s="19"/>
      <c r="O266" s="19"/>
      <c r="P266" s="19"/>
    </row>
    <row r="267" ht="15.75" customHeight="1">
      <c r="A267" s="27"/>
      <c r="B267" s="19"/>
      <c r="C267" s="19"/>
      <c r="D267" s="20"/>
      <c r="E267" s="21" t="str">
        <f>IF(SET!A318="","",IF(SET!I318="iScout","📱",IF(SET!I318="XSA Neo","💻","📡")))</f>
        <v/>
      </c>
      <c r="F267" s="22"/>
      <c r="G267" s="23"/>
      <c r="H267" s="24"/>
      <c r="I267" s="19"/>
      <c r="J267" s="25"/>
      <c r="K267" s="26"/>
      <c r="L267" s="24"/>
      <c r="M267" s="19"/>
      <c r="N267" s="19"/>
      <c r="O267" s="19"/>
      <c r="P267" s="19"/>
    </row>
    <row r="268" ht="15.75" customHeight="1">
      <c r="A268" s="27"/>
      <c r="B268" s="19"/>
      <c r="C268" s="19"/>
      <c r="D268" s="20"/>
      <c r="E268" s="21" t="str">
        <f>IF(SET!A319="","",IF(SET!I319="iScout","📱",IF(SET!I319="XSA Neo","💻","📡")))</f>
        <v/>
      </c>
      <c r="F268" s="22"/>
      <c r="G268" s="23"/>
      <c r="H268" s="24"/>
      <c r="I268" s="19"/>
      <c r="J268" s="25"/>
      <c r="K268" s="26"/>
      <c r="L268" s="24"/>
      <c r="M268" s="19"/>
      <c r="N268" s="19"/>
      <c r="O268" s="19"/>
      <c r="P268" s="19"/>
    </row>
    <row r="269" ht="15.75" customHeight="1">
      <c r="A269" s="27"/>
      <c r="B269" s="19"/>
      <c r="C269" s="19"/>
      <c r="D269" s="20"/>
      <c r="E269" s="21" t="str">
        <f>IF(SET!A320="","",IF(SET!I320="iScout","📱",IF(SET!I320="XSA Neo","💻","📡")))</f>
        <v/>
      </c>
      <c r="F269" s="22"/>
      <c r="G269" s="23"/>
      <c r="H269" s="24"/>
      <c r="I269" s="19"/>
      <c r="J269" s="25"/>
      <c r="K269" s="26"/>
      <c r="L269" s="24"/>
      <c r="M269" s="19"/>
      <c r="N269" s="19"/>
      <c r="O269" s="19"/>
      <c r="P269" s="19"/>
    </row>
    <row r="270" ht="15.75" customHeight="1">
      <c r="A270" s="27"/>
      <c r="B270" s="19"/>
      <c r="C270" s="19"/>
      <c r="D270" s="20"/>
      <c r="E270" s="21" t="str">
        <f>IF(SET!A321="","",IF(SET!I321="iScout","📱",IF(SET!I321="XSA Neo","💻","📡")))</f>
        <v/>
      </c>
      <c r="F270" s="22"/>
      <c r="G270" s="23"/>
      <c r="H270" s="24"/>
      <c r="I270" s="19"/>
      <c r="J270" s="25"/>
      <c r="K270" s="26"/>
      <c r="L270" s="24"/>
      <c r="M270" s="19"/>
      <c r="N270" s="19"/>
      <c r="O270" s="19"/>
      <c r="P270" s="19"/>
    </row>
    <row r="271" ht="15.75" customHeight="1">
      <c r="A271" s="27"/>
      <c r="B271" s="19"/>
      <c r="C271" s="19"/>
      <c r="D271" s="20"/>
      <c r="E271" s="21" t="str">
        <f>IF(SET!A322="","",IF(SET!I322="iScout","📱",IF(SET!I322="XSA Neo","💻","📡")))</f>
        <v/>
      </c>
      <c r="F271" s="22"/>
      <c r="G271" s="23"/>
      <c r="H271" s="24"/>
      <c r="I271" s="19"/>
      <c r="J271" s="25"/>
      <c r="K271" s="26"/>
      <c r="L271" s="24"/>
      <c r="M271" s="19"/>
      <c r="N271" s="19"/>
      <c r="O271" s="19"/>
      <c r="P271" s="19"/>
    </row>
    <row r="272" ht="15.75" customHeight="1">
      <c r="A272" s="27"/>
      <c r="B272" s="19"/>
      <c r="C272" s="19"/>
      <c r="D272" s="20"/>
      <c r="E272" s="21" t="str">
        <f>IF(SET!A323="","",IF(SET!I323="iScout","📱",IF(SET!I323="XSA Neo","💻","📡")))</f>
        <v/>
      </c>
      <c r="F272" s="22"/>
      <c r="G272" s="23"/>
      <c r="H272" s="24"/>
      <c r="I272" s="19"/>
      <c r="J272" s="25"/>
      <c r="K272" s="26"/>
      <c r="L272" s="24"/>
      <c r="M272" s="19"/>
      <c r="N272" s="19"/>
      <c r="O272" s="19"/>
      <c r="P272" s="19"/>
    </row>
    <row r="273" ht="15.75" customHeight="1">
      <c r="A273" s="27"/>
      <c r="B273" s="19"/>
      <c r="C273" s="19"/>
      <c r="D273" s="20"/>
      <c r="E273" s="21" t="str">
        <f>IF(SET!A324="","",IF(SET!I324="iScout","📱",IF(SET!I324="XSA Neo","💻","📡")))</f>
        <v/>
      </c>
      <c r="F273" s="22"/>
      <c r="G273" s="23"/>
      <c r="H273" s="24"/>
      <c r="I273" s="19"/>
      <c r="J273" s="25"/>
      <c r="K273" s="26"/>
      <c r="L273" s="24"/>
      <c r="M273" s="19"/>
      <c r="N273" s="19"/>
      <c r="O273" s="19"/>
      <c r="P273" s="19"/>
    </row>
    <row r="274" ht="15.75" customHeight="1">
      <c r="A274" s="27"/>
      <c r="B274" s="19"/>
      <c r="C274" s="19"/>
      <c r="D274" s="20"/>
      <c r="E274" s="21" t="str">
        <f>IF(SET!A325="","",IF(SET!I325="iScout","📱",IF(SET!I325="XSA Neo","💻","📡")))</f>
        <v/>
      </c>
      <c r="F274" s="22"/>
      <c r="G274" s="23"/>
      <c r="H274" s="24"/>
      <c r="I274" s="19"/>
      <c r="J274" s="25"/>
      <c r="K274" s="26"/>
      <c r="L274" s="24"/>
      <c r="M274" s="19"/>
      <c r="N274" s="19"/>
      <c r="O274" s="19"/>
      <c r="P274" s="19"/>
    </row>
    <row r="275" ht="15.75" customHeight="1">
      <c r="A275" s="27"/>
      <c r="B275" s="19"/>
      <c r="C275" s="19"/>
      <c r="D275" s="20"/>
      <c r="E275" s="21" t="str">
        <f>IF(SET!A326="","",IF(SET!I326="iScout","📱",IF(SET!I326="XSA Neo","💻","📡")))</f>
        <v/>
      </c>
      <c r="F275" s="22"/>
      <c r="G275" s="23"/>
      <c r="H275" s="24"/>
      <c r="I275" s="19"/>
      <c r="J275" s="25"/>
      <c r="K275" s="26"/>
      <c r="L275" s="24"/>
      <c r="M275" s="19"/>
      <c r="N275" s="19"/>
      <c r="O275" s="19"/>
      <c r="P275" s="19"/>
    </row>
    <row r="276" ht="15.75" customHeight="1">
      <c r="A276" s="27"/>
      <c r="B276" s="19"/>
      <c r="C276" s="19"/>
      <c r="D276" s="20"/>
      <c r="E276" s="21" t="str">
        <f>IF(SET!A327="","",IF(SET!I327="iScout","📱",IF(SET!I327="XSA Neo","💻","📡")))</f>
        <v/>
      </c>
      <c r="F276" s="22"/>
      <c r="G276" s="23"/>
      <c r="H276" s="24"/>
      <c r="I276" s="19"/>
      <c r="J276" s="25"/>
      <c r="K276" s="26"/>
      <c r="L276" s="24"/>
      <c r="M276" s="19"/>
      <c r="N276" s="19"/>
      <c r="O276" s="19"/>
      <c r="P276" s="19"/>
    </row>
    <row r="277" ht="15.75" customHeight="1">
      <c r="A277" s="27"/>
      <c r="B277" s="19"/>
      <c r="C277" s="19"/>
      <c r="D277" s="20"/>
      <c r="E277" s="21" t="str">
        <f>IF(SET!A328="","",IF(SET!I328="iScout","📱",IF(SET!I328="XSA Neo","💻","📡")))</f>
        <v/>
      </c>
      <c r="F277" s="22"/>
      <c r="G277" s="23"/>
      <c r="H277" s="24"/>
      <c r="I277" s="19"/>
      <c r="J277" s="25"/>
      <c r="K277" s="26"/>
      <c r="L277" s="24"/>
      <c r="M277" s="19"/>
      <c r="N277" s="19"/>
      <c r="O277" s="19"/>
      <c r="P277" s="19"/>
    </row>
    <row r="278" ht="15.75" customHeight="1">
      <c r="A278" s="27"/>
      <c r="B278" s="19"/>
      <c r="C278" s="19"/>
      <c r="D278" s="20"/>
      <c r="E278" s="21" t="str">
        <f>IF(SET!A329="","",IF(SET!I329="iScout","📱",IF(SET!I329="XSA Neo","💻","📡")))</f>
        <v/>
      </c>
      <c r="F278" s="22"/>
      <c r="G278" s="23"/>
      <c r="H278" s="24"/>
      <c r="I278" s="19"/>
      <c r="J278" s="25"/>
      <c r="K278" s="26"/>
      <c r="L278" s="24"/>
      <c r="M278" s="19"/>
      <c r="N278" s="19"/>
      <c r="O278" s="19"/>
      <c r="P278" s="19"/>
    </row>
    <row r="279" ht="15.75" customHeight="1">
      <c r="A279" s="27"/>
      <c r="B279" s="19"/>
      <c r="C279" s="19"/>
      <c r="D279" s="20"/>
      <c r="E279" s="21" t="str">
        <f>IF(SET!A330="","",IF(SET!I330="iScout","📱",IF(SET!I330="XSA Neo","💻","📡")))</f>
        <v/>
      </c>
      <c r="F279" s="22"/>
      <c r="G279" s="23"/>
      <c r="H279" s="24"/>
      <c r="I279" s="19"/>
      <c r="J279" s="25"/>
      <c r="K279" s="26"/>
      <c r="L279" s="24"/>
      <c r="M279" s="19"/>
      <c r="N279" s="19"/>
      <c r="O279" s="19"/>
      <c r="P279" s="19"/>
    </row>
    <row r="280" ht="15.75" customHeight="1">
      <c r="A280" s="27"/>
      <c r="B280" s="19"/>
      <c r="C280" s="19"/>
      <c r="D280" s="20"/>
      <c r="E280" s="21" t="str">
        <f>IF(SET!A331="","",IF(SET!I331="iScout","📱",IF(SET!I331="XSA Neo","💻","📡")))</f>
        <v/>
      </c>
      <c r="F280" s="22"/>
      <c r="G280" s="23"/>
      <c r="H280" s="24"/>
      <c r="I280" s="19"/>
      <c r="J280" s="25"/>
      <c r="K280" s="26"/>
      <c r="L280" s="24"/>
      <c r="M280" s="19"/>
      <c r="N280" s="19"/>
      <c r="O280" s="19"/>
      <c r="P280" s="19"/>
    </row>
    <row r="281" ht="15.75" customHeight="1">
      <c r="A281" s="27"/>
      <c r="B281" s="19"/>
      <c r="C281" s="19"/>
      <c r="D281" s="20"/>
      <c r="E281" s="21" t="str">
        <f>IF(SET!A332="","",IF(SET!I332="iScout","📱",IF(SET!I332="XSA Neo","💻","📡")))</f>
        <v/>
      </c>
      <c r="F281" s="22"/>
      <c r="G281" s="23"/>
      <c r="H281" s="24"/>
      <c r="I281" s="19"/>
      <c r="J281" s="25"/>
      <c r="K281" s="26"/>
      <c r="L281" s="24"/>
      <c r="M281" s="19"/>
      <c r="N281" s="19"/>
      <c r="O281" s="19"/>
      <c r="P281" s="19"/>
    </row>
    <row r="282" ht="15.75" customHeight="1">
      <c r="A282" s="27"/>
      <c r="B282" s="19"/>
      <c r="C282" s="19"/>
      <c r="D282" s="20"/>
      <c r="E282" s="21" t="str">
        <f>IF(SET!A333="","",IF(SET!I333="iScout","📱",IF(SET!I333="XSA Neo","💻","📡")))</f>
        <v/>
      </c>
      <c r="F282" s="22"/>
      <c r="G282" s="23"/>
      <c r="H282" s="24"/>
      <c r="I282" s="19"/>
      <c r="J282" s="25"/>
      <c r="K282" s="26"/>
      <c r="L282" s="24"/>
      <c r="M282" s="19"/>
      <c r="N282" s="19"/>
      <c r="O282" s="19"/>
      <c r="P282" s="19"/>
    </row>
    <row r="283" ht="15.75" customHeight="1">
      <c r="A283" s="27"/>
      <c r="B283" s="19"/>
      <c r="C283" s="19"/>
      <c r="D283" s="20"/>
      <c r="E283" s="21" t="str">
        <f>IF(SET!A334="","",IF(SET!I334="iScout","📱",IF(SET!I334="XSA Neo","💻","📡")))</f>
        <v/>
      </c>
      <c r="F283" s="22"/>
      <c r="G283" s="23"/>
      <c r="H283" s="24"/>
      <c r="I283" s="19"/>
      <c r="J283" s="25"/>
      <c r="K283" s="26"/>
      <c r="L283" s="24"/>
      <c r="M283" s="19"/>
      <c r="N283" s="19"/>
      <c r="O283" s="19"/>
      <c r="P283" s="19"/>
    </row>
    <row r="284" ht="15.75" customHeight="1">
      <c r="A284" s="27"/>
      <c r="B284" s="19"/>
      <c r="C284" s="19"/>
      <c r="D284" s="20"/>
      <c r="E284" s="21" t="str">
        <f>IF(SET!A335="","",IF(SET!I335="iScout","📱",IF(SET!I335="XSA Neo","💻","📡")))</f>
        <v/>
      </c>
      <c r="F284" s="22"/>
      <c r="G284" s="23"/>
      <c r="H284" s="24"/>
      <c r="I284" s="19"/>
      <c r="J284" s="25"/>
      <c r="K284" s="26"/>
      <c r="L284" s="24"/>
      <c r="M284" s="19"/>
      <c r="N284" s="19"/>
      <c r="O284" s="19"/>
      <c r="P284" s="19"/>
    </row>
    <row r="285" ht="15.75" customHeight="1">
      <c r="A285" s="27"/>
      <c r="B285" s="19"/>
      <c r="C285" s="19"/>
      <c r="D285" s="20"/>
      <c r="E285" s="21" t="str">
        <f>IF(SET!A336="","",IF(SET!I336="iScout","📱",IF(SET!I336="XSA Neo","💻","📡")))</f>
        <v/>
      </c>
      <c r="F285" s="22"/>
      <c r="G285" s="23"/>
      <c r="H285" s="24"/>
      <c r="I285" s="19"/>
      <c r="J285" s="25"/>
      <c r="K285" s="26"/>
      <c r="L285" s="24"/>
      <c r="M285" s="19"/>
      <c r="N285" s="19"/>
      <c r="O285" s="19"/>
      <c r="P285" s="19"/>
    </row>
    <row r="286" ht="15.75" customHeight="1">
      <c r="A286" s="27"/>
      <c r="B286" s="19"/>
      <c r="C286" s="19"/>
      <c r="D286" s="20"/>
      <c r="E286" s="21" t="str">
        <f>IF(SET!A337="","",IF(SET!I337="iScout","📱",IF(SET!I337="XSA Neo","💻","📡")))</f>
        <v/>
      </c>
      <c r="F286" s="22"/>
      <c r="G286" s="23"/>
      <c r="H286" s="24"/>
      <c r="I286" s="19"/>
      <c r="J286" s="25"/>
      <c r="K286" s="26"/>
      <c r="L286" s="24"/>
      <c r="M286" s="19"/>
      <c r="N286" s="19"/>
      <c r="O286" s="19"/>
      <c r="P286" s="19"/>
    </row>
    <row r="287" ht="15.75" customHeight="1">
      <c r="A287" s="27"/>
      <c r="B287" s="19"/>
      <c r="C287" s="19"/>
      <c r="D287" s="20"/>
      <c r="E287" s="21" t="str">
        <f>IF(SET!A338="","",IF(SET!I338="iScout","📱",IF(SET!I338="XSA Neo","💻","📡")))</f>
        <v/>
      </c>
      <c r="F287" s="22"/>
      <c r="G287" s="23"/>
      <c r="H287" s="24"/>
      <c r="I287" s="19"/>
      <c r="J287" s="25"/>
      <c r="K287" s="26"/>
      <c r="L287" s="24"/>
      <c r="M287" s="19"/>
      <c r="N287" s="19"/>
      <c r="O287" s="19"/>
      <c r="P287" s="19"/>
    </row>
    <row r="288" ht="15.75" customHeight="1">
      <c r="A288" s="27"/>
      <c r="B288" s="19"/>
      <c r="C288" s="19"/>
      <c r="D288" s="20"/>
      <c r="E288" s="21" t="str">
        <f>IF(SET!A339="","",IF(SET!I339="iScout","📱",IF(SET!I339="XSA Neo","💻","📡")))</f>
        <v/>
      </c>
      <c r="F288" s="22"/>
      <c r="G288" s="23"/>
      <c r="H288" s="24"/>
      <c r="I288" s="19"/>
      <c r="J288" s="25"/>
      <c r="K288" s="26"/>
      <c r="L288" s="24"/>
      <c r="M288" s="19"/>
      <c r="N288" s="19"/>
      <c r="O288" s="19"/>
      <c r="P288" s="19"/>
    </row>
    <row r="289" ht="15.75" customHeight="1">
      <c r="A289" s="27"/>
      <c r="B289" s="19"/>
      <c r="C289" s="19"/>
      <c r="D289" s="20"/>
      <c r="E289" s="21" t="str">
        <f>IF(SET!A340="","",IF(SET!I340="iScout","📱",IF(SET!I340="XSA Neo","💻","📡")))</f>
        <v/>
      </c>
      <c r="F289" s="22"/>
      <c r="G289" s="23"/>
      <c r="H289" s="24"/>
      <c r="I289" s="19"/>
      <c r="J289" s="25"/>
      <c r="K289" s="26"/>
      <c r="L289" s="24"/>
      <c r="M289" s="19"/>
      <c r="N289" s="19"/>
      <c r="O289" s="19"/>
      <c r="P289" s="19"/>
    </row>
    <row r="290" ht="15.75" customHeight="1">
      <c r="A290" s="27"/>
      <c r="B290" s="19"/>
      <c r="C290" s="19"/>
      <c r="D290" s="20"/>
      <c r="E290" s="21" t="str">
        <f>IF(SET!A341="","",IF(SET!I341="iScout","📱",IF(SET!I341="XSA Neo","💻","📡")))</f>
        <v/>
      </c>
      <c r="F290" s="22"/>
      <c r="G290" s="23"/>
      <c r="H290" s="24"/>
      <c r="I290" s="19"/>
      <c r="J290" s="25"/>
      <c r="K290" s="26"/>
      <c r="L290" s="24"/>
      <c r="M290" s="19"/>
      <c r="N290" s="19"/>
      <c r="O290" s="19"/>
      <c r="P290" s="19"/>
    </row>
    <row r="291" ht="15.75" customHeight="1">
      <c r="A291" s="27"/>
      <c r="B291" s="19"/>
      <c r="C291" s="19"/>
      <c r="D291" s="20"/>
      <c r="E291" s="21" t="str">
        <f>IF(SET!A342="","",IF(SET!I342="iScout","📱",IF(SET!I342="XSA Neo","💻","📡")))</f>
        <v/>
      </c>
      <c r="F291" s="22"/>
      <c r="G291" s="23"/>
      <c r="H291" s="24"/>
      <c r="I291" s="19"/>
      <c r="J291" s="25"/>
      <c r="K291" s="26"/>
      <c r="L291" s="24"/>
      <c r="M291" s="19"/>
      <c r="N291" s="19"/>
      <c r="O291" s="19"/>
      <c r="P291" s="19"/>
    </row>
    <row r="292" ht="15.75" customHeight="1">
      <c r="A292" s="27"/>
      <c r="B292" s="19"/>
      <c r="C292" s="19"/>
      <c r="D292" s="20"/>
      <c r="E292" s="21" t="str">
        <f>IF(SET!A343="","",IF(SET!I343="iScout","📱",IF(SET!I343="XSA Neo","💻","📡")))</f>
        <v/>
      </c>
      <c r="F292" s="22"/>
      <c r="G292" s="23"/>
      <c r="H292" s="24"/>
      <c r="I292" s="19"/>
      <c r="J292" s="25"/>
      <c r="K292" s="26"/>
      <c r="L292" s="24"/>
      <c r="M292" s="19"/>
      <c r="N292" s="19"/>
      <c r="O292" s="19"/>
      <c r="P292" s="19"/>
    </row>
    <row r="293" ht="15.75" customHeight="1">
      <c r="A293" s="27"/>
      <c r="B293" s="19"/>
      <c r="C293" s="19"/>
      <c r="D293" s="20"/>
      <c r="E293" s="21" t="str">
        <f>IF(SET!A344="","",IF(SET!I344="iScout","📱",IF(SET!I344="XSA Neo","💻","📡")))</f>
        <v/>
      </c>
      <c r="F293" s="22"/>
      <c r="G293" s="23"/>
      <c r="H293" s="24"/>
      <c r="I293" s="19"/>
      <c r="J293" s="25"/>
      <c r="K293" s="26"/>
      <c r="L293" s="24"/>
      <c r="M293" s="19"/>
      <c r="N293" s="19"/>
      <c r="O293" s="19"/>
      <c r="P293" s="19"/>
    </row>
    <row r="294" ht="15.75" customHeight="1">
      <c r="A294" s="27"/>
      <c r="B294" s="19"/>
      <c r="C294" s="19"/>
      <c r="D294" s="20"/>
      <c r="E294" s="21" t="str">
        <f>IF(SET!A345="","",IF(SET!I345="iScout","📱",IF(SET!I345="XSA Neo","💻","📡")))</f>
        <v/>
      </c>
      <c r="F294" s="22"/>
      <c r="G294" s="23"/>
      <c r="H294" s="24"/>
      <c r="I294" s="19"/>
      <c r="J294" s="25"/>
      <c r="K294" s="26"/>
      <c r="L294" s="24"/>
      <c r="M294" s="19"/>
      <c r="N294" s="19"/>
      <c r="O294" s="19"/>
      <c r="P294" s="19"/>
    </row>
    <row r="295" ht="15.75" customHeight="1">
      <c r="A295" s="27"/>
      <c r="B295" s="19"/>
      <c r="C295" s="19"/>
      <c r="D295" s="20"/>
      <c r="E295" s="21" t="str">
        <f>IF(SET!A346="","",IF(SET!I346="iScout","📱",IF(SET!I346="XSA Neo","💻","📡")))</f>
        <v/>
      </c>
      <c r="F295" s="22"/>
      <c r="G295" s="23"/>
      <c r="H295" s="24"/>
      <c r="I295" s="19"/>
      <c r="J295" s="25"/>
      <c r="K295" s="26"/>
      <c r="L295" s="24"/>
      <c r="M295" s="19"/>
      <c r="N295" s="19"/>
      <c r="O295" s="19"/>
      <c r="P295" s="19"/>
    </row>
    <row r="296" ht="15.75" customHeight="1">
      <c r="A296" s="27"/>
      <c r="B296" s="19"/>
      <c r="C296" s="19"/>
      <c r="D296" s="20"/>
      <c r="E296" s="21" t="str">
        <f>IF(SET!A347="","",IF(SET!I347="iScout","📱",IF(SET!I347="XSA Neo","💻","📡")))</f>
        <v/>
      </c>
      <c r="F296" s="22"/>
      <c r="G296" s="23"/>
      <c r="H296" s="24"/>
      <c r="I296" s="19"/>
      <c r="J296" s="25"/>
      <c r="K296" s="26"/>
      <c r="L296" s="24"/>
      <c r="M296" s="19"/>
      <c r="N296" s="19"/>
      <c r="O296" s="19"/>
      <c r="P296" s="19"/>
    </row>
    <row r="297" ht="15.75" customHeight="1">
      <c r="A297" s="27"/>
      <c r="B297" s="19"/>
      <c r="C297" s="19"/>
      <c r="D297" s="20"/>
      <c r="E297" s="21" t="str">
        <f>IF(SET!A348="","",IF(SET!I348="iScout","📱",IF(SET!I348="XSA Neo","💻","📡")))</f>
        <v/>
      </c>
      <c r="F297" s="22"/>
      <c r="G297" s="23"/>
      <c r="H297" s="24"/>
      <c r="I297" s="19"/>
      <c r="J297" s="25"/>
      <c r="K297" s="26"/>
      <c r="L297" s="24"/>
      <c r="M297" s="19"/>
      <c r="N297" s="19"/>
      <c r="O297" s="19"/>
      <c r="P297" s="19"/>
    </row>
    <row r="298" ht="15.75" customHeight="1">
      <c r="A298" s="27"/>
      <c r="B298" s="19"/>
      <c r="C298" s="19"/>
      <c r="D298" s="20"/>
      <c r="E298" s="21" t="str">
        <f>IF(SET!A349="","",IF(SET!I349="iScout","📱",IF(SET!I349="XSA Neo","💻","📡")))</f>
        <v/>
      </c>
      <c r="F298" s="22"/>
      <c r="G298" s="23"/>
      <c r="H298" s="24"/>
      <c r="I298" s="19"/>
      <c r="J298" s="25"/>
      <c r="K298" s="26"/>
      <c r="L298" s="24"/>
      <c r="M298" s="19"/>
      <c r="N298" s="19"/>
      <c r="O298" s="19"/>
      <c r="P298" s="19"/>
    </row>
    <row r="299" ht="15.75" customHeight="1">
      <c r="A299" s="27"/>
      <c r="B299" s="19"/>
      <c r="C299" s="19"/>
      <c r="D299" s="20"/>
      <c r="E299" s="21" t="str">
        <f>IF(SET!A350="","",IF(SET!I350="iScout","📱",IF(SET!I350="XSA Neo","💻","📡")))</f>
        <v/>
      </c>
      <c r="F299" s="22"/>
      <c r="G299" s="23"/>
      <c r="H299" s="24"/>
      <c r="I299" s="19"/>
      <c r="J299" s="25"/>
      <c r="K299" s="26"/>
      <c r="L299" s="24"/>
      <c r="M299" s="19"/>
      <c r="N299" s="19"/>
      <c r="O299" s="19"/>
      <c r="P299" s="19"/>
    </row>
    <row r="300" ht="15.75" customHeight="1">
      <c r="A300" s="27"/>
      <c r="B300" s="19"/>
      <c r="C300" s="19"/>
      <c r="D300" s="20"/>
      <c r="E300" s="21" t="str">
        <f>IF(SET!A351="","",IF(SET!I351="iScout","📱",IF(SET!I351="XSA Neo","💻","📡")))</f>
        <v/>
      </c>
      <c r="F300" s="22"/>
      <c r="G300" s="23"/>
      <c r="H300" s="24"/>
      <c r="I300" s="19"/>
      <c r="J300" s="25"/>
      <c r="K300" s="26"/>
      <c r="L300" s="24"/>
      <c r="M300" s="19"/>
      <c r="N300" s="19"/>
      <c r="O300" s="19"/>
      <c r="P300" s="19"/>
    </row>
    <row r="301" ht="15.75" customHeight="1">
      <c r="A301" s="27"/>
      <c r="B301" s="19"/>
      <c r="C301" s="19"/>
      <c r="D301" s="20"/>
      <c r="E301" s="21" t="str">
        <f>IF(SET!A352="","",IF(SET!I352="iScout","📱",IF(SET!I352="XSA Neo","💻","📡")))</f>
        <v/>
      </c>
      <c r="F301" s="22"/>
      <c r="G301" s="23"/>
      <c r="H301" s="24"/>
      <c r="I301" s="19"/>
      <c r="J301" s="25"/>
      <c r="K301" s="26"/>
      <c r="L301" s="24"/>
      <c r="M301" s="19"/>
      <c r="N301" s="19"/>
      <c r="O301" s="19"/>
      <c r="P301" s="19"/>
    </row>
    <row r="302" ht="15.75" customHeight="1">
      <c r="A302" s="27"/>
      <c r="B302" s="19"/>
      <c r="C302" s="19"/>
      <c r="D302" s="20"/>
      <c r="E302" s="21" t="str">
        <f>IF(SET!A353="","",IF(SET!I353="iScout","📱",IF(SET!I353="XSA Neo","💻","📡")))</f>
        <v/>
      </c>
      <c r="F302" s="22"/>
      <c r="G302" s="23"/>
      <c r="H302" s="24"/>
      <c r="I302" s="19"/>
      <c r="J302" s="25"/>
      <c r="K302" s="26"/>
      <c r="L302" s="24"/>
      <c r="M302" s="19"/>
      <c r="N302" s="19"/>
      <c r="O302" s="19"/>
      <c r="P302" s="19"/>
    </row>
    <row r="303" ht="15.75" customHeight="1">
      <c r="A303" s="27"/>
      <c r="B303" s="19"/>
      <c r="C303" s="19"/>
      <c r="D303" s="20"/>
      <c r="E303" s="21" t="str">
        <f>IF(SET!A354="","",IF(SET!I354="iScout","📱",IF(SET!I354="XSA Neo","💻","📡")))</f>
        <v/>
      </c>
      <c r="F303" s="22"/>
      <c r="G303" s="23"/>
      <c r="H303" s="24"/>
      <c r="I303" s="19"/>
      <c r="J303" s="25"/>
      <c r="K303" s="26"/>
      <c r="L303" s="24"/>
      <c r="M303" s="19"/>
      <c r="N303" s="19"/>
      <c r="O303" s="19"/>
      <c r="P303" s="19"/>
    </row>
    <row r="304" ht="15.75" customHeight="1">
      <c r="A304" s="27"/>
      <c r="B304" s="19"/>
      <c r="C304" s="19"/>
      <c r="D304" s="20"/>
      <c r="E304" s="21" t="str">
        <f>IF(SET!A355="","",IF(SET!I355="iScout","📱",IF(SET!I355="XSA Neo","💻","📡")))</f>
        <v/>
      </c>
      <c r="F304" s="22"/>
      <c r="G304" s="23"/>
      <c r="H304" s="24"/>
      <c r="I304" s="19"/>
      <c r="J304" s="25"/>
      <c r="K304" s="26"/>
      <c r="L304" s="24"/>
      <c r="M304" s="19"/>
      <c r="N304" s="19"/>
      <c r="O304" s="19"/>
      <c r="P304" s="19"/>
    </row>
    <row r="305" ht="15.75" customHeight="1">
      <c r="A305" s="27"/>
      <c r="B305" s="19"/>
      <c r="C305" s="19"/>
      <c r="D305" s="20"/>
      <c r="E305" s="21" t="str">
        <f>IF(SET!A356="","",IF(SET!I356="iScout","📱",IF(SET!I356="XSA Neo","💻","📡")))</f>
        <v/>
      </c>
      <c r="F305" s="22"/>
      <c r="G305" s="23"/>
      <c r="H305" s="24"/>
      <c r="I305" s="19"/>
      <c r="J305" s="25"/>
      <c r="K305" s="26"/>
      <c r="L305" s="24"/>
      <c r="M305" s="19"/>
      <c r="N305" s="19"/>
      <c r="O305" s="19"/>
      <c r="P305" s="19"/>
    </row>
    <row r="306" ht="15.75" customHeight="1">
      <c r="A306" s="27"/>
      <c r="B306" s="19"/>
      <c r="C306" s="19"/>
      <c r="D306" s="20"/>
      <c r="E306" s="21" t="str">
        <f>IF(SET!A357="","",IF(SET!I357="iScout","📱",IF(SET!I357="XSA Neo","💻","📡")))</f>
        <v/>
      </c>
      <c r="F306" s="22"/>
      <c r="G306" s="23"/>
      <c r="H306" s="24"/>
      <c r="I306" s="19"/>
      <c r="J306" s="25"/>
      <c r="K306" s="26"/>
      <c r="L306" s="24"/>
      <c r="M306" s="19"/>
      <c r="N306" s="19"/>
      <c r="O306" s="19"/>
      <c r="P306" s="19"/>
    </row>
    <row r="307" ht="15.75" customHeight="1">
      <c r="A307" s="27"/>
      <c r="B307" s="19"/>
      <c r="C307" s="19"/>
      <c r="D307" s="20"/>
      <c r="E307" s="21" t="str">
        <f>IF(SET!A358="","",IF(SET!I358="iScout","📱",IF(SET!I358="XSA Neo","💻","📡")))</f>
        <v/>
      </c>
      <c r="F307" s="22"/>
      <c r="G307" s="23"/>
      <c r="H307" s="24"/>
      <c r="I307" s="19"/>
      <c r="J307" s="25"/>
      <c r="K307" s="26"/>
      <c r="L307" s="24"/>
      <c r="M307" s="19"/>
      <c r="N307" s="19"/>
      <c r="O307" s="19"/>
      <c r="P307" s="19"/>
    </row>
    <row r="308" ht="15.75" customHeight="1">
      <c r="A308" s="27"/>
      <c r="B308" s="19"/>
      <c r="C308" s="19"/>
      <c r="D308" s="20"/>
      <c r="E308" s="21" t="str">
        <f>IF(SET!A359="","",IF(SET!I359="iScout","📱",IF(SET!I359="XSA Neo","💻","📡")))</f>
        <v/>
      </c>
      <c r="F308" s="22"/>
      <c r="G308" s="23"/>
      <c r="H308" s="24"/>
      <c r="I308" s="19"/>
      <c r="J308" s="25"/>
      <c r="K308" s="26"/>
      <c r="L308" s="24"/>
      <c r="M308" s="19"/>
      <c r="N308" s="19"/>
      <c r="O308" s="19"/>
      <c r="P308" s="19"/>
    </row>
    <row r="309" ht="15.75" customHeight="1">
      <c r="A309" s="27"/>
      <c r="B309" s="19"/>
      <c r="C309" s="19"/>
      <c r="D309" s="20"/>
      <c r="E309" s="21" t="str">
        <f>IF(SET!A360="","",IF(SET!I360="iScout","📱",IF(SET!I360="XSA Neo","💻","📡")))</f>
        <v/>
      </c>
      <c r="F309" s="22"/>
      <c r="G309" s="23"/>
      <c r="H309" s="24"/>
      <c r="I309" s="19"/>
      <c r="J309" s="25"/>
      <c r="K309" s="26"/>
      <c r="L309" s="24"/>
      <c r="M309" s="19"/>
      <c r="N309" s="19"/>
      <c r="O309" s="19"/>
      <c r="P309" s="19"/>
    </row>
    <row r="310" ht="15.75" customHeight="1">
      <c r="A310" s="27"/>
      <c r="B310" s="19"/>
      <c r="C310" s="19"/>
      <c r="D310" s="20"/>
      <c r="E310" s="28"/>
      <c r="F310" s="22"/>
      <c r="G310" s="23"/>
      <c r="H310" s="24"/>
      <c r="I310" s="19"/>
      <c r="J310" s="25"/>
      <c r="K310" s="26"/>
      <c r="L310" s="24"/>
      <c r="M310" s="19"/>
      <c r="N310" s="19"/>
      <c r="O310" s="19"/>
      <c r="P310" s="19"/>
    </row>
    <row r="311" ht="15.75" customHeight="1">
      <c r="A311" s="27"/>
      <c r="B311" s="19"/>
      <c r="C311" s="19"/>
      <c r="D311" s="20"/>
      <c r="E311" s="28"/>
      <c r="F311" s="22"/>
      <c r="G311" s="23"/>
      <c r="H311" s="24"/>
      <c r="I311" s="19"/>
      <c r="J311" s="25"/>
      <c r="K311" s="26"/>
      <c r="L311" s="24"/>
      <c r="M311" s="19"/>
      <c r="N311" s="19"/>
      <c r="O311" s="19"/>
      <c r="P311" s="19"/>
    </row>
    <row r="312" ht="15.75" customHeight="1">
      <c r="A312" s="27"/>
      <c r="B312" s="19"/>
      <c r="C312" s="19"/>
      <c r="D312" s="20"/>
      <c r="E312" s="28"/>
      <c r="F312" s="22"/>
      <c r="G312" s="23"/>
      <c r="H312" s="24"/>
      <c r="I312" s="19"/>
      <c r="J312" s="25"/>
      <c r="K312" s="26"/>
      <c r="L312" s="24"/>
      <c r="M312" s="19"/>
      <c r="N312" s="19"/>
      <c r="O312" s="19"/>
      <c r="P312" s="19"/>
    </row>
    <row r="313" ht="15.75" customHeight="1">
      <c r="A313" s="27"/>
      <c r="B313" s="19"/>
      <c r="C313" s="19"/>
      <c r="D313" s="20"/>
      <c r="E313" s="28"/>
      <c r="F313" s="22"/>
      <c r="G313" s="23"/>
      <c r="H313" s="24"/>
      <c r="I313" s="19"/>
      <c r="J313" s="25"/>
      <c r="K313" s="26"/>
      <c r="L313" s="24"/>
      <c r="M313" s="19"/>
      <c r="N313" s="19"/>
      <c r="O313" s="19"/>
      <c r="P313" s="19"/>
    </row>
    <row r="314" ht="15.75" customHeight="1">
      <c r="A314" s="27"/>
      <c r="B314" s="19"/>
      <c r="C314" s="19"/>
      <c r="D314" s="20"/>
      <c r="E314" s="28"/>
      <c r="F314" s="22"/>
      <c r="G314" s="23"/>
      <c r="H314" s="24"/>
      <c r="I314" s="19"/>
      <c r="J314" s="25"/>
      <c r="K314" s="26"/>
      <c r="L314" s="24"/>
      <c r="M314" s="19"/>
      <c r="N314" s="19"/>
      <c r="O314" s="19"/>
      <c r="P314" s="19"/>
    </row>
    <row r="315" ht="15.75" customHeight="1">
      <c r="A315" s="27"/>
      <c r="B315" s="19"/>
      <c r="C315" s="19"/>
      <c r="D315" s="20"/>
      <c r="E315" s="28"/>
      <c r="F315" s="22"/>
      <c r="G315" s="23"/>
      <c r="H315" s="24"/>
      <c r="I315" s="19"/>
      <c r="J315" s="25"/>
      <c r="K315" s="26"/>
      <c r="L315" s="24"/>
      <c r="M315" s="19"/>
      <c r="N315" s="19"/>
      <c r="O315" s="19"/>
      <c r="P315" s="19"/>
    </row>
    <row r="316" ht="15.75" customHeight="1">
      <c r="A316" s="27"/>
      <c r="B316" s="19"/>
      <c r="C316" s="19"/>
      <c r="D316" s="20"/>
      <c r="E316" s="28"/>
      <c r="F316" s="22"/>
      <c r="G316" s="23"/>
      <c r="H316" s="24"/>
      <c r="I316" s="19"/>
      <c r="J316" s="25"/>
      <c r="K316" s="26"/>
      <c r="L316" s="24"/>
      <c r="M316" s="19"/>
      <c r="N316" s="19"/>
      <c r="O316" s="19"/>
      <c r="P316" s="19"/>
    </row>
    <row r="317" ht="15.75" customHeight="1">
      <c r="A317" s="27"/>
      <c r="B317" s="19"/>
      <c r="C317" s="19"/>
      <c r="D317" s="20"/>
      <c r="E317" s="28"/>
      <c r="F317" s="22"/>
      <c r="G317" s="23"/>
      <c r="H317" s="24"/>
      <c r="I317" s="19"/>
      <c r="J317" s="25"/>
      <c r="K317" s="26"/>
      <c r="L317" s="24"/>
      <c r="M317" s="19"/>
      <c r="N317" s="19"/>
      <c r="O317" s="19"/>
      <c r="P317" s="19"/>
    </row>
    <row r="318" ht="15.75" customHeight="1">
      <c r="A318" s="27"/>
      <c r="B318" s="19"/>
      <c r="C318" s="19"/>
      <c r="D318" s="20"/>
      <c r="E318" s="28"/>
      <c r="F318" s="22"/>
      <c r="G318" s="23"/>
      <c r="H318" s="24"/>
      <c r="I318" s="19"/>
      <c r="J318" s="25"/>
      <c r="K318" s="26"/>
      <c r="L318" s="24"/>
      <c r="M318" s="19"/>
      <c r="N318" s="19"/>
      <c r="O318" s="19"/>
      <c r="P318" s="19"/>
    </row>
    <row r="319" ht="15.75" customHeight="1">
      <c r="A319" s="27"/>
      <c r="B319" s="19"/>
      <c r="C319" s="19"/>
      <c r="D319" s="20"/>
      <c r="E319" s="28"/>
      <c r="F319" s="22"/>
      <c r="G319" s="23"/>
      <c r="H319" s="24"/>
      <c r="I319" s="19"/>
      <c r="J319" s="25"/>
      <c r="K319" s="26"/>
      <c r="L319" s="24"/>
      <c r="M319" s="19"/>
      <c r="N319" s="19"/>
      <c r="O319" s="19"/>
      <c r="P319" s="19"/>
    </row>
    <row r="320" ht="15.75" customHeight="1">
      <c r="A320" s="27"/>
      <c r="B320" s="19"/>
      <c r="C320" s="19"/>
      <c r="D320" s="20"/>
      <c r="E320" s="28"/>
      <c r="F320" s="22"/>
      <c r="G320" s="23"/>
      <c r="H320" s="24"/>
      <c r="I320" s="19"/>
      <c r="J320" s="25"/>
      <c r="K320" s="26"/>
      <c r="L320" s="24"/>
      <c r="M320" s="19"/>
      <c r="N320" s="19"/>
      <c r="O320" s="19"/>
      <c r="P320" s="19"/>
    </row>
    <row r="321" ht="15.75" customHeight="1">
      <c r="A321" s="27"/>
      <c r="B321" s="19"/>
      <c r="C321" s="19"/>
      <c r="D321" s="20"/>
      <c r="E321" s="28"/>
      <c r="F321" s="22"/>
      <c r="G321" s="23"/>
      <c r="H321" s="24"/>
      <c r="I321" s="19"/>
      <c r="J321" s="25"/>
      <c r="K321" s="26"/>
      <c r="L321" s="24"/>
      <c r="M321" s="19"/>
      <c r="N321" s="19"/>
      <c r="O321" s="19"/>
      <c r="P321" s="19"/>
    </row>
    <row r="322" ht="15.75" customHeight="1">
      <c r="A322" s="27"/>
      <c r="B322" s="19"/>
      <c r="C322" s="19"/>
      <c r="D322" s="20"/>
      <c r="E322" s="28"/>
      <c r="F322" s="22"/>
      <c r="G322" s="23"/>
      <c r="H322" s="24"/>
      <c r="I322" s="19"/>
      <c r="J322" s="25"/>
      <c r="K322" s="26"/>
      <c r="L322" s="24"/>
      <c r="M322" s="19"/>
      <c r="N322" s="19"/>
      <c r="O322" s="19"/>
      <c r="P322" s="19"/>
    </row>
    <row r="323" ht="15.75" customHeight="1">
      <c r="A323" s="27"/>
      <c r="B323" s="19"/>
      <c r="C323" s="19"/>
      <c r="D323" s="20"/>
      <c r="E323" s="28"/>
      <c r="F323" s="22"/>
      <c r="G323" s="23"/>
      <c r="H323" s="24"/>
      <c r="I323" s="19"/>
      <c r="J323" s="25"/>
      <c r="K323" s="26"/>
      <c r="L323" s="24"/>
      <c r="M323" s="19"/>
      <c r="N323" s="19"/>
      <c r="O323" s="19"/>
      <c r="P323" s="19"/>
    </row>
    <row r="324" ht="15.75" customHeight="1">
      <c r="A324" s="27"/>
      <c r="B324" s="19"/>
      <c r="C324" s="19"/>
      <c r="D324" s="20"/>
      <c r="E324" s="28"/>
      <c r="F324" s="22"/>
      <c r="G324" s="23"/>
      <c r="H324" s="24"/>
      <c r="I324" s="19"/>
      <c r="J324" s="25"/>
      <c r="K324" s="26"/>
      <c r="L324" s="24"/>
      <c r="M324" s="19"/>
      <c r="N324" s="19"/>
      <c r="O324" s="19"/>
      <c r="P324" s="19"/>
    </row>
    <row r="325" ht="15.75" customHeight="1">
      <c r="A325" s="27"/>
      <c r="B325" s="19"/>
      <c r="C325" s="19"/>
      <c r="D325" s="20"/>
      <c r="E325" s="28"/>
      <c r="F325" s="22"/>
      <c r="G325" s="23"/>
      <c r="H325" s="24"/>
      <c r="I325" s="19"/>
      <c r="J325" s="25"/>
      <c r="K325" s="26"/>
      <c r="L325" s="24"/>
      <c r="M325" s="19"/>
      <c r="N325" s="19"/>
      <c r="O325" s="19"/>
      <c r="P325" s="19"/>
    </row>
    <row r="326" ht="15.75" customHeight="1">
      <c r="A326" s="27"/>
      <c r="B326" s="19"/>
      <c r="C326" s="19"/>
      <c r="D326" s="20"/>
      <c r="E326" s="28"/>
      <c r="F326" s="22"/>
      <c r="G326" s="23"/>
      <c r="H326" s="24"/>
      <c r="I326" s="19"/>
      <c r="J326" s="25"/>
      <c r="K326" s="26"/>
      <c r="L326" s="24"/>
      <c r="M326" s="19"/>
      <c r="N326" s="19"/>
      <c r="O326" s="19"/>
      <c r="P326" s="19"/>
    </row>
    <row r="327" ht="15.75" customHeight="1">
      <c r="A327" s="27"/>
      <c r="B327" s="19"/>
      <c r="C327" s="19"/>
      <c r="D327" s="20"/>
      <c r="E327" s="28"/>
      <c r="F327" s="22"/>
      <c r="G327" s="23"/>
      <c r="H327" s="24"/>
      <c r="I327" s="19"/>
      <c r="J327" s="25"/>
      <c r="K327" s="26"/>
      <c r="L327" s="24"/>
      <c r="M327" s="19"/>
      <c r="N327" s="19"/>
      <c r="O327" s="19"/>
      <c r="P327" s="19"/>
    </row>
    <row r="328" ht="15.75" customHeight="1">
      <c r="A328" s="27"/>
      <c r="B328" s="19"/>
      <c r="C328" s="19"/>
      <c r="D328" s="20"/>
      <c r="E328" s="28"/>
      <c r="F328" s="22"/>
      <c r="G328" s="23"/>
      <c r="H328" s="24"/>
      <c r="I328" s="19"/>
      <c r="J328" s="25"/>
      <c r="K328" s="26"/>
      <c r="L328" s="24"/>
      <c r="M328" s="19"/>
      <c r="N328" s="19"/>
      <c r="O328" s="19"/>
      <c r="P328" s="19"/>
    </row>
    <row r="329" ht="15.75" customHeight="1">
      <c r="A329" s="27"/>
      <c r="B329" s="19"/>
      <c r="C329" s="19"/>
      <c r="D329" s="20"/>
      <c r="E329" s="28"/>
      <c r="F329" s="22"/>
      <c r="G329" s="23"/>
      <c r="H329" s="24"/>
      <c r="I329" s="19"/>
      <c r="J329" s="25"/>
      <c r="K329" s="26"/>
      <c r="L329" s="24"/>
      <c r="M329" s="19"/>
      <c r="N329" s="19"/>
      <c r="O329" s="19"/>
      <c r="P329" s="19"/>
    </row>
    <row r="330" ht="15.75" customHeight="1">
      <c r="A330" s="27"/>
      <c r="B330" s="19"/>
      <c r="C330" s="19"/>
      <c r="D330" s="20"/>
      <c r="E330" s="28"/>
      <c r="F330" s="22"/>
      <c r="G330" s="23"/>
      <c r="H330" s="24"/>
      <c r="I330" s="19"/>
      <c r="J330" s="25"/>
      <c r="K330" s="26"/>
      <c r="L330" s="24"/>
      <c r="M330" s="19"/>
      <c r="N330" s="19"/>
      <c r="O330" s="19"/>
      <c r="P330" s="19"/>
    </row>
    <row r="331" ht="15.75" customHeight="1">
      <c r="A331" s="27"/>
      <c r="B331" s="19"/>
      <c r="C331" s="19"/>
      <c r="D331" s="20"/>
      <c r="E331" s="28"/>
      <c r="F331" s="22"/>
      <c r="G331" s="23"/>
      <c r="H331" s="24"/>
      <c r="I331" s="19"/>
      <c r="J331" s="25"/>
      <c r="K331" s="26"/>
      <c r="L331" s="24"/>
      <c r="M331" s="19"/>
      <c r="N331" s="19"/>
      <c r="O331" s="19"/>
      <c r="P331" s="19"/>
    </row>
    <row r="332" ht="15.75" customHeight="1">
      <c r="A332" s="27"/>
      <c r="B332" s="19"/>
      <c r="C332" s="19"/>
      <c r="D332" s="20"/>
      <c r="E332" s="28"/>
      <c r="F332" s="22"/>
      <c r="G332" s="23"/>
      <c r="H332" s="24"/>
      <c r="I332" s="19"/>
      <c r="J332" s="25"/>
      <c r="K332" s="26"/>
      <c r="L332" s="24"/>
      <c r="M332" s="19"/>
      <c r="N332" s="19"/>
      <c r="O332" s="19"/>
      <c r="P332" s="19"/>
    </row>
    <row r="333" ht="15.75" customHeight="1">
      <c r="A333" s="27"/>
      <c r="B333" s="19"/>
      <c r="C333" s="19"/>
      <c r="D333" s="20"/>
      <c r="E333" s="28"/>
      <c r="F333" s="22"/>
      <c r="G333" s="23"/>
      <c r="H333" s="24"/>
      <c r="I333" s="19"/>
      <c r="J333" s="25"/>
      <c r="K333" s="26"/>
      <c r="L333" s="24"/>
      <c r="M333" s="19"/>
      <c r="N333" s="19"/>
      <c r="O333" s="19"/>
      <c r="P333" s="19"/>
    </row>
    <row r="334" ht="15.75" customHeight="1">
      <c r="A334" s="27"/>
      <c r="B334" s="19"/>
      <c r="C334" s="19"/>
      <c r="D334" s="20"/>
      <c r="E334" s="28"/>
      <c r="F334" s="22"/>
      <c r="G334" s="23"/>
      <c r="H334" s="24"/>
      <c r="I334" s="19"/>
      <c r="J334" s="25"/>
      <c r="K334" s="26"/>
      <c r="L334" s="24"/>
      <c r="M334" s="19"/>
      <c r="N334" s="19"/>
      <c r="O334" s="19"/>
      <c r="P334" s="19"/>
    </row>
    <row r="335" ht="15.75" customHeight="1">
      <c r="A335" s="27"/>
      <c r="B335" s="19"/>
      <c r="C335" s="19"/>
      <c r="D335" s="20"/>
      <c r="E335" s="28"/>
      <c r="F335" s="22"/>
      <c r="G335" s="23"/>
      <c r="H335" s="24"/>
      <c r="I335" s="19"/>
      <c r="J335" s="25"/>
      <c r="K335" s="26"/>
      <c r="L335" s="24"/>
      <c r="M335" s="19"/>
      <c r="N335" s="19"/>
      <c r="O335" s="19"/>
      <c r="P335" s="19"/>
    </row>
    <row r="336" ht="15.75" customHeight="1">
      <c r="A336" s="27"/>
      <c r="B336" s="19"/>
      <c r="C336" s="19"/>
      <c r="D336" s="20"/>
      <c r="E336" s="28"/>
      <c r="F336" s="22"/>
      <c r="G336" s="23"/>
      <c r="H336" s="24"/>
      <c r="I336" s="19"/>
      <c r="J336" s="25"/>
      <c r="K336" s="26"/>
      <c r="L336" s="24"/>
      <c r="M336" s="19"/>
      <c r="N336" s="19"/>
      <c r="O336" s="19"/>
      <c r="P336" s="19"/>
    </row>
    <row r="337" ht="15.75" customHeight="1">
      <c r="A337" s="27"/>
      <c r="B337" s="19"/>
      <c r="C337" s="19"/>
      <c r="D337" s="20"/>
      <c r="E337" s="28"/>
      <c r="F337" s="22"/>
      <c r="G337" s="23"/>
      <c r="H337" s="24"/>
      <c r="I337" s="19"/>
      <c r="J337" s="25"/>
      <c r="K337" s="26"/>
      <c r="L337" s="24"/>
      <c r="M337" s="19"/>
      <c r="N337" s="19"/>
      <c r="O337" s="19"/>
      <c r="P337" s="19"/>
    </row>
    <row r="338" ht="15.75" customHeight="1">
      <c r="A338" s="27"/>
      <c r="B338" s="19"/>
      <c r="C338" s="19"/>
      <c r="D338" s="20"/>
      <c r="E338" s="28"/>
      <c r="F338" s="22"/>
      <c r="G338" s="23"/>
      <c r="H338" s="24"/>
      <c r="I338" s="19"/>
      <c r="J338" s="25"/>
      <c r="K338" s="26"/>
      <c r="L338" s="24"/>
      <c r="M338" s="19"/>
      <c r="N338" s="19"/>
      <c r="O338" s="19"/>
      <c r="P338" s="19"/>
    </row>
    <row r="339" ht="15.75" customHeight="1">
      <c r="A339" s="27"/>
      <c r="B339" s="19"/>
      <c r="C339" s="19"/>
      <c r="D339" s="20"/>
      <c r="E339" s="28"/>
      <c r="F339" s="22"/>
      <c r="G339" s="23"/>
      <c r="H339" s="24"/>
      <c r="I339" s="19"/>
      <c r="J339" s="25"/>
      <c r="K339" s="26"/>
      <c r="L339" s="24"/>
      <c r="M339" s="19"/>
      <c r="N339" s="19"/>
      <c r="O339" s="19"/>
      <c r="P339" s="19"/>
    </row>
    <row r="340" ht="15.75" customHeight="1">
      <c r="A340" s="27"/>
      <c r="B340" s="19"/>
      <c r="C340" s="19"/>
      <c r="D340" s="20"/>
      <c r="E340" s="28"/>
      <c r="F340" s="22"/>
      <c r="G340" s="23"/>
      <c r="H340" s="24"/>
      <c r="I340" s="19"/>
      <c r="J340" s="25"/>
      <c r="K340" s="26"/>
      <c r="L340" s="24"/>
      <c r="M340" s="19"/>
      <c r="N340" s="19"/>
      <c r="O340" s="19"/>
      <c r="P340" s="19"/>
    </row>
    <row r="341" ht="15.75" customHeight="1">
      <c r="A341" s="27"/>
      <c r="B341" s="19"/>
      <c r="C341" s="19"/>
      <c r="D341" s="20"/>
      <c r="E341" s="28"/>
      <c r="F341" s="22"/>
      <c r="G341" s="23"/>
      <c r="H341" s="24"/>
      <c r="I341" s="19"/>
      <c r="J341" s="25"/>
      <c r="K341" s="26"/>
      <c r="L341" s="24"/>
      <c r="M341" s="19"/>
      <c r="N341" s="19"/>
      <c r="O341" s="19"/>
      <c r="P341" s="19"/>
    </row>
    <row r="342" ht="15.75" customHeight="1">
      <c r="A342" s="27"/>
      <c r="B342" s="19"/>
      <c r="C342" s="19"/>
      <c r="D342" s="20"/>
      <c r="E342" s="28"/>
      <c r="F342" s="22"/>
      <c r="G342" s="23"/>
      <c r="H342" s="24"/>
      <c r="I342" s="19"/>
      <c r="J342" s="25"/>
      <c r="K342" s="26"/>
      <c r="L342" s="24"/>
      <c r="M342" s="19"/>
      <c r="N342" s="19"/>
      <c r="O342" s="19"/>
      <c r="P342" s="19"/>
    </row>
    <row r="343" ht="15.75" customHeight="1">
      <c r="A343" s="27"/>
      <c r="B343" s="19"/>
      <c r="C343" s="19"/>
      <c r="D343" s="20"/>
      <c r="E343" s="28"/>
      <c r="F343" s="22"/>
      <c r="G343" s="23"/>
      <c r="H343" s="24"/>
      <c r="I343" s="19"/>
      <c r="J343" s="25"/>
      <c r="K343" s="26"/>
      <c r="L343" s="24"/>
      <c r="M343" s="19"/>
      <c r="N343" s="19"/>
      <c r="O343" s="19"/>
      <c r="P343" s="19"/>
    </row>
    <row r="344" ht="15.75" customHeight="1">
      <c r="A344" s="27"/>
      <c r="B344" s="19"/>
      <c r="C344" s="19"/>
      <c r="D344" s="20"/>
      <c r="E344" s="28"/>
      <c r="F344" s="22"/>
      <c r="G344" s="23"/>
      <c r="H344" s="24"/>
      <c r="I344" s="19"/>
      <c r="J344" s="25"/>
      <c r="K344" s="26"/>
      <c r="L344" s="24"/>
      <c r="M344" s="19"/>
      <c r="N344" s="19"/>
      <c r="O344" s="19"/>
      <c r="P344" s="19"/>
    </row>
    <row r="345" ht="15.75" customHeight="1">
      <c r="A345" s="27"/>
      <c r="B345" s="19"/>
      <c r="C345" s="19"/>
      <c r="D345" s="20"/>
      <c r="E345" s="28"/>
      <c r="F345" s="22"/>
      <c r="G345" s="23"/>
      <c r="H345" s="24"/>
      <c r="I345" s="19"/>
      <c r="J345" s="25"/>
      <c r="K345" s="26"/>
      <c r="L345" s="24"/>
      <c r="M345" s="19"/>
      <c r="N345" s="19"/>
      <c r="O345" s="19"/>
      <c r="P345" s="19"/>
    </row>
    <row r="346" ht="15.75" customHeight="1">
      <c r="A346" s="27"/>
      <c r="B346" s="19"/>
      <c r="C346" s="19"/>
      <c r="D346" s="20"/>
      <c r="E346" s="28"/>
      <c r="F346" s="22"/>
      <c r="G346" s="23"/>
      <c r="H346" s="24"/>
      <c r="I346" s="19"/>
      <c r="J346" s="25"/>
      <c r="K346" s="26"/>
      <c r="L346" s="24"/>
      <c r="M346" s="19"/>
      <c r="N346" s="19"/>
      <c r="O346" s="19"/>
      <c r="P346" s="19"/>
    </row>
    <row r="347" ht="15.75" customHeight="1">
      <c r="A347" s="27"/>
      <c r="B347" s="19"/>
      <c r="C347" s="19"/>
      <c r="D347" s="20"/>
      <c r="E347" s="28"/>
      <c r="F347" s="22"/>
      <c r="G347" s="23"/>
      <c r="H347" s="24"/>
      <c r="I347" s="19"/>
      <c r="J347" s="25"/>
      <c r="K347" s="26"/>
      <c r="L347" s="24"/>
      <c r="M347" s="19"/>
      <c r="N347" s="19"/>
      <c r="O347" s="19"/>
      <c r="P347" s="19"/>
    </row>
    <row r="348" ht="15.75" customHeight="1">
      <c r="A348" s="27"/>
      <c r="B348" s="19"/>
      <c r="C348" s="19"/>
      <c r="D348" s="20"/>
      <c r="E348" s="28"/>
      <c r="F348" s="22"/>
      <c r="G348" s="23"/>
      <c r="H348" s="24"/>
      <c r="I348" s="19"/>
      <c r="J348" s="25"/>
      <c r="K348" s="26"/>
      <c r="L348" s="24"/>
      <c r="M348" s="19"/>
      <c r="N348" s="19"/>
      <c r="O348" s="19"/>
      <c r="P348" s="19"/>
    </row>
    <row r="349" ht="15.75" customHeight="1">
      <c r="A349" s="27"/>
      <c r="B349" s="19"/>
      <c r="C349" s="19"/>
      <c r="D349" s="20"/>
      <c r="E349" s="28"/>
      <c r="F349" s="22"/>
      <c r="G349" s="23"/>
      <c r="H349" s="24"/>
      <c r="I349" s="19"/>
      <c r="J349" s="25"/>
      <c r="K349" s="26"/>
      <c r="L349" s="24"/>
      <c r="M349" s="19"/>
      <c r="N349" s="19"/>
      <c r="O349" s="19"/>
      <c r="P349" s="19"/>
    </row>
    <row r="350" ht="15.75" customHeight="1">
      <c r="A350" s="27"/>
      <c r="B350" s="19"/>
      <c r="C350" s="19"/>
      <c r="D350" s="20"/>
      <c r="E350" s="28"/>
      <c r="F350" s="22"/>
      <c r="G350" s="23"/>
      <c r="H350" s="24"/>
      <c r="I350" s="19"/>
      <c r="J350" s="25"/>
      <c r="K350" s="26"/>
      <c r="L350" s="24"/>
      <c r="M350" s="19"/>
      <c r="N350" s="19"/>
      <c r="O350" s="19"/>
      <c r="P350" s="19"/>
    </row>
    <row r="351" ht="15.75" customHeight="1">
      <c r="A351" s="27"/>
      <c r="B351" s="19"/>
      <c r="C351" s="19"/>
      <c r="D351" s="20"/>
      <c r="E351" s="28"/>
      <c r="F351" s="22"/>
      <c r="G351" s="23"/>
      <c r="H351" s="24"/>
      <c r="I351" s="19"/>
      <c r="J351" s="25"/>
      <c r="K351" s="26"/>
      <c r="L351" s="24"/>
      <c r="M351" s="19"/>
      <c r="N351" s="19"/>
      <c r="O351" s="19"/>
      <c r="P351" s="19"/>
    </row>
    <row r="352" ht="15.75" customHeight="1">
      <c r="A352" s="27"/>
      <c r="B352" s="19"/>
      <c r="C352" s="19"/>
      <c r="D352" s="20"/>
      <c r="E352" s="28"/>
      <c r="F352" s="22"/>
      <c r="G352" s="23"/>
      <c r="H352" s="24"/>
      <c r="I352" s="19"/>
      <c r="J352" s="25"/>
      <c r="K352" s="26"/>
      <c r="L352" s="24"/>
      <c r="M352" s="19"/>
      <c r="N352" s="19"/>
      <c r="O352" s="19"/>
      <c r="P352" s="19"/>
    </row>
    <row r="353" ht="15.75" customHeight="1">
      <c r="A353" s="27"/>
      <c r="B353" s="19"/>
      <c r="C353" s="19"/>
      <c r="D353" s="20"/>
      <c r="E353" s="28"/>
      <c r="F353" s="22"/>
      <c r="G353" s="23"/>
      <c r="H353" s="24"/>
      <c r="I353" s="19"/>
      <c r="J353" s="25"/>
      <c r="K353" s="26"/>
      <c r="L353" s="24"/>
      <c r="M353" s="19"/>
      <c r="N353" s="19"/>
      <c r="O353" s="19"/>
      <c r="P353" s="19"/>
    </row>
    <row r="354" ht="15.75" customHeight="1">
      <c r="A354" s="27"/>
      <c r="B354" s="19"/>
      <c r="C354" s="19"/>
      <c r="D354" s="20"/>
      <c r="E354" s="28"/>
      <c r="F354" s="22"/>
      <c r="G354" s="23"/>
      <c r="H354" s="24"/>
      <c r="I354" s="19"/>
      <c r="J354" s="25"/>
      <c r="K354" s="26"/>
      <c r="L354" s="24"/>
      <c r="M354" s="19"/>
      <c r="N354" s="19"/>
      <c r="O354" s="19"/>
      <c r="P354" s="19"/>
    </row>
    <row r="355" ht="15.75" customHeight="1">
      <c r="A355" s="27"/>
      <c r="B355" s="19"/>
      <c r="C355" s="19"/>
      <c r="D355" s="20"/>
      <c r="E355" s="28"/>
      <c r="F355" s="22"/>
      <c r="G355" s="23"/>
      <c r="H355" s="24"/>
      <c r="I355" s="19"/>
      <c r="J355" s="25"/>
      <c r="K355" s="26"/>
      <c r="L355" s="24"/>
      <c r="M355" s="19"/>
      <c r="N355" s="19"/>
      <c r="O355" s="19"/>
      <c r="P355" s="19"/>
    </row>
    <row r="356" ht="15.75" customHeight="1">
      <c r="A356" s="27"/>
      <c r="B356" s="19"/>
      <c r="C356" s="19"/>
      <c r="D356" s="20"/>
      <c r="E356" s="28"/>
      <c r="F356" s="22"/>
      <c r="G356" s="23"/>
      <c r="H356" s="24"/>
      <c r="I356" s="19"/>
      <c r="J356" s="25"/>
      <c r="K356" s="26"/>
      <c r="L356" s="24"/>
      <c r="M356" s="19"/>
      <c r="N356" s="19"/>
      <c r="O356" s="19"/>
      <c r="P356" s="19"/>
    </row>
    <row r="357" ht="15.75" customHeight="1">
      <c r="A357" s="27"/>
      <c r="B357" s="19"/>
      <c r="C357" s="19"/>
      <c r="D357" s="20"/>
      <c r="E357" s="28"/>
      <c r="F357" s="22"/>
      <c r="G357" s="23"/>
      <c r="H357" s="24"/>
      <c r="I357" s="19"/>
      <c r="J357" s="25"/>
      <c r="K357" s="26"/>
      <c r="L357" s="24"/>
      <c r="M357" s="19"/>
      <c r="N357" s="19"/>
      <c r="O357" s="19"/>
      <c r="P357" s="19"/>
    </row>
    <row r="358" ht="15.75" customHeight="1">
      <c r="A358" s="27"/>
      <c r="B358" s="19"/>
      <c r="C358" s="19"/>
      <c r="D358" s="20"/>
      <c r="E358" s="28"/>
      <c r="F358" s="22"/>
      <c r="G358" s="23"/>
      <c r="H358" s="24"/>
      <c r="I358" s="19"/>
      <c r="J358" s="25"/>
      <c r="K358" s="26"/>
      <c r="L358" s="24"/>
      <c r="M358" s="19"/>
      <c r="N358" s="19"/>
      <c r="O358" s="19"/>
      <c r="P358" s="19"/>
    </row>
    <row r="359" ht="15.75" customHeight="1">
      <c r="A359" s="27"/>
      <c r="B359" s="19"/>
      <c r="C359" s="19"/>
      <c r="D359" s="20"/>
      <c r="E359" s="28"/>
      <c r="F359" s="22"/>
      <c r="G359" s="23"/>
      <c r="H359" s="24"/>
      <c r="I359" s="19"/>
      <c r="J359" s="25"/>
      <c r="K359" s="26"/>
      <c r="L359" s="24"/>
      <c r="M359" s="19"/>
      <c r="N359" s="19"/>
      <c r="O359" s="19"/>
      <c r="P359" s="19"/>
    </row>
    <row r="360" ht="15.75" customHeight="1">
      <c r="A360" s="27"/>
      <c r="B360" s="19"/>
      <c r="C360" s="19"/>
      <c r="D360" s="20"/>
      <c r="E360" s="28"/>
      <c r="F360" s="22"/>
      <c r="G360" s="23"/>
      <c r="H360" s="24"/>
      <c r="I360" s="19"/>
      <c r="J360" s="25"/>
      <c r="K360" s="26"/>
      <c r="L360" s="24"/>
      <c r="M360" s="19"/>
      <c r="N360" s="19"/>
      <c r="O360" s="19"/>
      <c r="P360" s="19"/>
    </row>
    <row r="361" ht="15.75" customHeight="1">
      <c r="A361" s="27"/>
      <c r="B361" s="19"/>
      <c r="C361" s="19"/>
      <c r="D361" s="20"/>
      <c r="E361" s="28"/>
      <c r="F361" s="22"/>
      <c r="G361" s="23"/>
      <c r="H361" s="24"/>
      <c r="I361" s="19"/>
      <c r="J361" s="25"/>
      <c r="K361" s="26"/>
      <c r="L361" s="24"/>
      <c r="M361" s="19"/>
      <c r="N361" s="19"/>
      <c r="O361" s="19"/>
      <c r="P361" s="19"/>
    </row>
    <row r="362" ht="15.75" customHeight="1">
      <c r="A362" s="27"/>
      <c r="B362" s="19"/>
      <c r="C362" s="19"/>
      <c r="D362" s="20"/>
      <c r="E362" s="28"/>
      <c r="F362" s="22"/>
      <c r="G362" s="23"/>
      <c r="H362" s="24"/>
      <c r="I362" s="19"/>
      <c r="J362" s="25"/>
      <c r="K362" s="26"/>
      <c r="L362" s="24"/>
      <c r="M362" s="19"/>
      <c r="N362" s="19"/>
      <c r="O362" s="19"/>
      <c r="P362" s="19"/>
    </row>
    <row r="363" ht="15.75" customHeight="1">
      <c r="A363" s="27"/>
      <c r="B363" s="19"/>
      <c r="C363" s="19"/>
      <c r="D363" s="20"/>
      <c r="E363" s="28"/>
      <c r="F363" s="22"/>
      <c r="G363" s="23"/>
      <c r="H363" s="24"/>
      <c r="I363" s="19"/>
      <c r="J363" s="25"/>
      <c r="K363" s="26"/>
      <c r="L363" s="24"/>
      <c r="M363" s="19"/>
      <c r="N363" s="19"/>
      <c r="O363" s="19"/>
      <c r="P363" s="19"/>
    </row>
    <row r="364" ht="15.75" customHeight="1">
      <c r="A364" s="27"/>
      <c r="B364" s="19"/>
      <c r="C364" s="19"/>
      <c r="D364" s="20"/>
      <c r="E364" s="28"/>
      <c r="F364" s="22"/>
      <c r="G364" s="23"/>
      <c r="H364" s="24"/>
      <c r="I364" s="19"/>
      <c r="J364" s="25"/>
      <c r="K364" s="26"/>
      <c r="L364" s="24"/>
      <c r="M364" s="19"/>
      <c r="N364" s="19"/>
      <c r="O364" s="19"/>
      <c r="P364" s="19"/>
    </row>
    <row r="365" ht="15.75" customHeight="1">
      <c r="A365" s="27"/>
      <c r="B365" s="19"/>
      <c r="C365" s="19"/>
      <c r="D365" s="20"/>
      <c r="E365" s="28"/>
      <c r="F365" s="22"/>
      <c r="G365" s="23"/>
      <c r="H365" s="24"/>
      <c r="I365" s="19"/>
      <c r="J365" s="25"/>
      <c r="K365" s="26"/>
      <c r="L365" s="24"/>
      <c r="M365" s="19"/>
      <c r="N365" s="19"/>
      <c r="O365" s="19"/>
      <c r="P365" s="19"/>
    </row>
    <row r="366" ht="15.75" customHeight="1">
      <c r="A366" s="27"/>
      <c r="B366" s="19"/>
      <c r="C366" s="19"/>
      <c r="D366" s="20"/>
      <c r="E366" s="28"/>
      <c r="F366" s="22"/>
      <c r="G366" s="23"/>
      <c r="H366" s="24"/>
      <c r="I366" s="19"/>
      <c r="J366" s="25"/>
      <c r="K366" s="26"/>
      <c r="L366" s="24"/>
      <c r="M366" s="19"/>
      <c r="N366" s="19"/>
      <c r="O366" s="19"/>
      <c r="P366" s="19"/>
    </row>
    <row r="367" ht="15.75" customHeight="1">
      <c r="A367" s="27"/>
      <c r="B367" s="19"/>
      <c r="C367" s="19"/>
      <c r="D367" s="20"/>
      <c r="E367" s="28"/>
      <c r="F367" s="22"/>
      <c r="G367" s="23"/>
      <c r="H367" s="24"/>
      <c r="I367" s="19"/>
      <c r="J367" s="25"/>
      <c r="K367" s="26"/>
      <c r="L367" s="24"/>
      <c r="M367" s="19"/>
      <c r="N367" s="19"/>
      <c r="O367" s="19"/>
      <c r="P367" s="19"/>
    </row>
    <row r="368" ht="15.75" customHeight="1">
      <c r="A368" s="27"/>
      <c r="B368" s="19"/>
      <c r="C368" s="19"/>
      <c r="D368" s="20"/>
      <c r="E368" s="28"/>
      <c r="F368" s="22"/>
      <c r="G368" s="23"/>
      <c r="H368" s="24"/>
      <c r="I368" s="19"/>
      <c r="J368" s="25"/>
      <c r="K368" s="26"/>
      <c r="L368" s="24"/>
      <c r="M368" s="19"/>
      <c r="N368" s="19"/>
      <c r="O368" s="19"/>
      <c r="P368" s="19"/>
    </row>
    <row r="369" ht="15.75" customHeight="1">
      <c r="A369" s="27"/>
      <c r="B369" s="19"/>
      <c r="C369" s="19"/>
      <c r="D369" s="20"/>
      <c r="E369" s="28"/>
      <c r="F369" s="22"/>
      <c r="G369" s="23"/>
      <c r="H369" s="24"/>
      <c r="I369" s="19"/>
      <c r="J369" s="25"/>
      <c r="K369" s="26"/>
      <c r="L369" s="24"/>
      <c r="M369" s="19"/>
      <c r="N369" s="19"/>
      <c r="O369" s="19"/>
      <c r="P369" s="19"/>
    </row>
    <row r="370" ht="15.75" customHeight="1">
      <c r="A370" s="27"/>
      <c r="B370" s="19"/>
      <c r="C370" s="19"/>
      <c r="D370" s="20"/>
      <c r="E370" s="28"/>
      <c r="F370" s="22"/>
      <c r="G370" s="23"/>
      <c r="H370" s="24"/>
      <c r="I370" s="19"/>
      <c r="J370" s="25"/>
      <c r="K370" s="26"/>
      <c r="L370" s="24"/>
      <c r="M370" s="19"/>
      <c r="N370" s="19"/>
      <c r="O370" s="19"/>
      <c r="P370" s="19"/>
    </row>
    <row r="371" ht="15.75" customHeight="1">
      <c r="A371" s="27"/>
      <c r="B371" s="19"/>
      <c r="C371" s="19"/>
      <c r="D371" s="20"/>
      <c r="E371" s="28"/>
      <c r="F371" s="22"/>
      <c r="G371" s="23"/>
      <c r="H371" s="24"/>
      <c r="I371" s="19"/>
      <c r="J371" s="25"/>
      <c r="K371" s="26"/>
      <c r="L371" s="24"/>
      <c r="M371" s="19"/>
      <c r="N371" s="19"/>
      <c r="O371" s="19"/>
      <c r="P371" s="19"/>
    </row>
    <row r="372" ht="15.75" customHeight="1">
      <c r="A372" s="27"/>
      <c r="B372" s="19"/>
      <c r="C372" s="19"/>
      <c r="D372" s="20"/>
      <c r="E372" s="28"/>
      <c r="F372" s="22"/>
      <c r="G372" s="23"/>
      <c r="H372" s="24"/>
      <c r="I372" s="19"/>
      <c r="J372" s="25"/>
      <c r="K372" s="26"/>
      <c r="L372" s="24"/>
      <c r="M372" s="19"/>
      <c r="N372" s="19"/>
      <c r="O372" s="19"/>
      <c r="P372" s="19"/>
    </row>
    <row r="373" ht="15.75" customHeight="1">
      <c r="A373" s="27"/>
      <c r="B373" s="19"/>
      <c r="C373" s="19"/>
      <c r="D373" s="20"/>
      <c r="E373" s="28"/>
      <c r="F373" s="22"/>
      <c r="G373" s="23"/>
      <c r="H373" s="24"/>
      <c r="I373" s="19"/>
      <c r="J373" s="25"/>
      <c r="K373" s="26"/>
      <c r="L373" s="24"/>
      <c r="M373" s="19"/>
      <c r="N373" s="19"/>
      <c r="O373" s="19"/>
      <c r="P373" s="19"/>
    </row>
    <row r="374" ht="15.75" customHeight="1">
      <c r="A374" s="27"/>
      <c r="B374" s="19"/>
      <c r="C374" s="19"/>
      <c r="D374" s="20"/>
      <c r="E374" s="28"/>
      <c r="F374" s="22"/>
      <c r="G374" s="23"/>
      <c r="H374" s="24"/>
      <c r="I374" s="19"/>
      <c r="J374" s="25"/>
      <c r="K374" s="26"/>
      <c r="L374" s="24"/>
      <c r="M374" s="19"/>
      <c r="N374" s="19"/>
      <c r="O374" s="19"/>
      <c r="P374" s="19"/>
    </row>
    <row r="375" ht="15.75" customHeight="1">
      <c r="A375" s="27"/>
      <c r="B375" s="19"/>
      <c r="C375" s="19"/>
      <c r="D375" s="20"/>
      <c r="E375" s="28"/>
      <c r="F375" s="22"/>
      <c r="G375" s="23"/>
      <c r="H375" s="24"/>
      <c r="I375" s="19"/>
      <c r="J375" s="25"/>
      <c r="K375" s="26"/>
      <c r="L375" s="24"/>
      <c r="M375" s="19"/>
      <c r="N375" s="19"/>
      <c r="O375" s="19"/>
      <c r="P375" s="19"/>
    </row>
    <row r="376" ht="15.75" customHeight="1">
      <c r="A376" s="27"/>
      <c r="B376" s="19"/>
      <c r="C376" s="19"/>
      <c r="D376" s="20"/>
      <c r="E376" s="28"/>
      <c r="F376" s="22"/>
      <c r="G376" s="23"/>
      <c r="H376" s="24"/>
      <c r="I376" s="19"/>
      <c r="J376" s="25"/>
      <c r="K376" s="26"/>
      <c r="L376" s="24"/>
      <c r="M376" s="19"/>
      <c r="N376" s="19"/>
      <c r="O376" s="19"/>
      <c r="P376" s="19"/>
    </row>
    <row r="377" ht="15.75" customHeight="1">
      <c r="A377" s="27"/>
      <c r="B377" s="19"/>
      <c r="C377" s="19"/>
      <c r="D377" s="20"/>
      <c r="E377" s="28"/>
      <c r="F377" s="22"/>
      <c r="G377" s="23"/>
      <c r="H377" s="24"/>
      <c r="I377" s="19"/>
      <c r="J377" s="25"/>
      <c r="K377" s="26"/>
      <c r="L377" s="24"/>
      <c r="M377" s="19"/>
      <c r="N377" s="19"/>
      <c r="O377" s="19"/>
      <c r="P377" s="19"/>
    </row>
    <row r="378" ht="15.75" customHeight="1">
      <c r="A378" s="27"/>
      <c r="B378" s="19"/>
      <c r="C378" s="19"/>
      <c r="D378" s="20"/>
      <c r="E378" s="28"/>
      <c r="F378" s="22"/>
      <c r="G378" s="23"/>
      <c r="H378" s="24"/>
      <c r="I378" s="19"/>
      <c r="J378" s="25"/>
      <c r="K378" s="26"/>
      <c r="L378" s="24"/>
      <c r="M378" s="19"/>
      <c r="N378" s="19"/>
      <c r="O378" s="19"/>
      <c r="P378" s="19"/>
    </row>
    <row r="379" ht="15.75" customHeight="1">
      <c r="A379" s="27"/>
      <c r="B379" s="19"/>
      <c r="C379" s="19"/>
      <c r="D379" s="20"/>
      <c r="E379" s="28"/>
      <c r="F379" s="22"/>
      <c r="G379" s="23"/>
      <c r="H379" s="24"/>
      <c r="I379" s="19"/>
      <c r="J379" s="25"/>
      <c r="K379" s="26"/>
      <c r="L379" s="24"/>
      <c r="M379" s="19"/>
      <c r="N379" s="19"/>
      <c r="O379" s="19"/>
      <c r="P379" s="19"/>
    </row>
    <row r="380" ht="15.75" customHeight="1">
      <c r="A380" s="27"/>
      <c r="B380" s="19"/>
      <c r="C380" s="19"/>
      <c r="D380" s="20"/>
      <c r="E380" s="28"/>
      <c r="F380" s="22"/>
      <c r="G380" s="23"/>
      <c r="H380" s="24"/>
      <c r="I380" s="19"/>
      <c r="J380" s="25"/>
      <c r="K380" s="26"/>
      <c r="L380" s="24"/>
      <c r="M380" s="19"/>
      <c r="N380" s="19"/>
      <c r="O380" s="19"/>
      <c r="P380" s="19"/>
    </row>
    <row r="381" ht="15.75" customHeight="1">
      <c r="A381" s="27"/>
      <c r="B381" s="19"/>
      <c r="C381" s="19"/>
      <c r="D381" s="20"/>
      <c r="E381" s="28"/>
      <c r="F381" s="22"/>
      <c r="G381" s="23"/>
      <c r="H381" s="24"/>
      <c r="I381" s="19"/>
      <c r="J381" s="25"/>
      <c r="K381" s="26"/>
      <c r="L381" s="24"/>
      <c r="M381" s="19"/>
      <c r="N381" s="19"/>
      <c r="O381" s="19"/>
      <c r="P381" s="19"/>
    </row>
    <row r="382" ht="15.75" customHeight="1">
      <c r="A382" s="27"/>
      <c r="B382" s="19"/>
      <c r="C382" s="19"/>
      <c r="D382" s="20"/>
      <c r="E382" s="28"/>
      <c r="F382" s="22"/>
      <c r="G382" s="23"/>
      <c r="H382" s="24"/>
      <c r="I382" s="19"/>
      <c r="J382" s="25"/>
      <c r="K382" s="26"/>
      <c r="L382" s="24"/>
      <c r="M382" s="19"/>
      <c r="N382" s="19"/>
      <c r="O382" s="19"/>
      <c r="P382" s="19"/>
    </row>
    <row r="383" ht="15.75" customHeight="1">
      <c r="A383" s="27"/>
      <c r="B383" s="19"/>
      <c r="C383" s="19"/>
      <c r="D383" s="20"/>
      <c r="E383" s="28"/>
      <c r="F383" s="22"/>
      <c r="G383" s="23"/>
      <c r="H383" s="24"/>
      <c r="I383" s="19"/>
      <c r="J383" s="25"/>
      <c r="K383" s="26"/>
      <c r="L383" s="24"/>
      <c r="M383" s="19"/>
      <c r="N383" s="19"/>
      <c r="O383" s="19"/>
      <c r="P383" s="19"/>
    </row>
    <row r="384" ht="15.75" customHeight="1">
      <c r="A384" s="27"/>
      <c r="B384" s="19"/>
      <c r="C384" s="19"/>
      <c r="D384" s="20"/>
      <c r="E384" s="28"/>
      <c r="F384" s="22"/>
      <c r="G384" s="23"/>
      <c r="H384" s="24"/>
      <c r="I384" s="19"/>
      <c r="J384" s="25"/>
      <c r="K384" s="26"/>
      <c r="L384" s="24"/>
      <c r="M384" s="19"/>
      <c r="N384" s="19"/>
      <c r="O384" s="19"/>
      <c r="P384" s="19"/>
    </row>
    <row r="385" ht="15.75" customHeight="1">
      <c r="A385" s="27"/>
      <c r="B385" s="19"/>
      <c r="C385" s="19"/>
      <c r="D385" s="20"/>
      <c r="E385" s="28"/>
      <c r="F385" s="22"/>
      <c r="G385" s="23"/>
      <c r="H385" s="24"/>
      <c r="I385" s="19"/>
      <c r="J385" s="25"/>
      <c r="K385" s="26"/>
      <c r="L385" s="24"/>
      <c r="M385" s="19"/>
      <c r="N385" s="19"/>
      <c r="O385" s="19"/>
      <c r="P385" s="19"/>
    </row>
    <row r="386" ht="15.75" customHeight="1">
      <c r="A386" s="27"/>
      <c r="B386" s="19"/>
      <c r="C386" s="19"/>
      <c r="D386" s="20"/>
      <c r="E386" s="28"/>
      <c r="F386" s="22"/>
      <c r="G386" s="23"/>
      <c r="H386" s="24"/>
      <c r="I386" s="19"/>
      <c r="J386" s="25"/>
      <c r="K386" s="26"/>
      <c r="L386" s="24"/>
      <c r="M386" s="19"/>
      <c r="N386" s="19"/>
      <c r="O386" s="19"/>
      <c r="P386" s="19"/>
    </row>
    <row r="387" ht="15.75" customHeight="1">
      <c r="A387" s="27"/>
      <c r="B387" s="19"/>
      <c r="C387" s="19"/>
      <c r="D387" s="20"/>
      <c r="E387" s="28"/>
      <c r="F387" s="22"/>
      <c r="G387" s="23"/>
      <c r="H387" s="24"/>
      <c r="I387" s="19"/>
      <c r="J387" s="25"/>
      <c r="K387" s="26"/>
      <c r="L387" s="24"/>
      <c r="M387" s="19"/>
      <c r="N387" s="19"/>
      <c r="O387" s="19"/>
      <c r="P387" s="19"/>
    </row>
    <row r="388" ht="15.75" customHeight="1">
      <c r="A388" s="27"/>
      <c r="B388" s="19"/>
      <c r="C388" s="19"/>
      <c r="D388" s="20"/>
      <c r="E388" s="28"/>
      <c r="F388" s="22"/>
      <c r="G388" s="23"/>
      <c r="H388" s="24"/>
      <c r="I388" s="19"/>
      <c r="J388" s="25"/>
      <c r="K388" s="26"/>
      <c r="L388" s="24"/>
      <c r="M388" s="19"/>
      <c r="N388" s="19"/>
      <c r="O388" s="19"/>
      <c r="P388" s="19"/>
    </row>
    <row r="389" ht="15.75" customHeight="1">
      <c r="A389" s="27"/>
      <c r="B389" s="19"/>
      <c r="C389" s="19"/>
      <c r="D389" s="20"/>
      <c r="E389" s="28"/>
      <c r="F389" s="22"/>
      <c r="G389" s="23"/>
      <c r="H389" s="24"/>
      <c r="I389" s="19"/>
      <c r="J389" s="25"/>
      <c r="K389" s="26"/>
      <c r="L389" s="24"/>
      <c r="M389" s="19"/>
      <c r="N389" s="19"/>
      <c r="O389" s="19"/>
      <c r="P389" s="19"/>
    </row>
    <row r="390" ht="15.75" customHeight="1">
      <c r="A390" s="27"/>
      <c r="B390" s="19"/>
      <c r="C390" s="19"/>
      <c r="D390" s="20"/>
      <c r="E390" s="28"/>
      <c r="F390" s="22"/>
      <c r="G390" s="23"/>
      <c r="H390" s="24"/>
      <c r="I390" s="19"/>
      <c r="J390" s="25"/>
      <c r="K390" s="26"/>
      <c r="L390" s="24"/>
      <c r="M390" s="19"/>
      <c r="N390" s="19"/>
      <c r="O390" s="19"/>
      <c r="P390" s="19"/>
    </row>
    <row r="391" ht="15.75" customHeight="1">
      <c r="A391" s="27"/>
      <c r="B391" s="19"/>
      <c r="C391" s="19"/>
      <c r="D391" s="20"/>
      <c r="E391" s="28"/>
      <c r="F391" s="22"/>
      <c r="G391" s="23"/>
      <c r="H391" s="24"/>
      <c r="I391" s="19"/>
      <c r="J391" s="25"/>
      <c r="K391" s="26"/>
      <c r="L391" s="24"/>
      <c r="M391" s="19"/>
      <c r="N391" s="19"/>
      <c r="O391" s="19"/>
      <c r="P391" s="19"/>
    </row>
    <row r="392" ht="15.75" customHeight="1">
      <c r="A392" s="27"/>
      <c r="B392" s="19"/>
      <c r="C392" s="19"/>
      <c r="D392" s="20"/>
      <c r="E392" s="28"/>
      <c r="F392" s="22"/>
      <c r="G392" s="23"/>
      <c r="H392" s="24"/>
      <c r="I392" s="19"/>
      <c r="J392" s="25"/>
      <c r="K392" s="26"/>
      <c r="L392" s="24"/>
      <c r="M392" s="19"/>
      <c r="N392" s="19"/>
      <c r="O392" s="19"/>
      <c r="P392" s="19"/>
    </row>
    <row r="393" ht="15.75" customHeight="1">
      <c r="A393" s="27"/>
      <c r="B393" s="19"/>
      <c r="C393" s="19"/>
      <c r="D393" s="20"/>
      <c r="E393" s="28"/>
      <c r="F393" s="22"/>
      <c r="G393" s="23"/>
      <c r="H393" s="24"/>
      <c r="I393" s="19"/>
      <c r="J393" s="25"/>
      <c r="K393" s="26"/>
      <c r="L393" s="24"/>
      <c r="M393" s="19"/>
      <c r="N393" s="19"/>
      <c r="O393" s="19"/>
      <c r="P393" s="19"/>
    </row>
    <row r="394" ht="15.75" customHeight="1">
      <c r="A394" s="27"/>
      <c r="B394" s="19"/>
      <c r="C394" s="19"/>
      <c r="D394" s="20"/>
      <c r="E394" s="28"/>
      <c r="F394" s="22"/>
      <c r="G394" s="23"/>
      <c r="H394" s="24"/>
      <c r="I394" s="19"/>
      <c r="J394" s="25"/>
      <c r="K394" s="26"/>
      <c r="L394" s="24"/>
      <c r="M394" s="19"/>
      <c r="N394" s="19"/>
      <c r="O394" s="19"/>
      <c r="P394" s="19"/>
    </row>
    <row r="395" ht="15.75" customHeight="1">
      <c r="A395" s="27"/>
      <c r="B395" s="19"/>
      <c r="C395" s="19"/>
      <c r="D395" s="20"/>
      <c r="E395" s="28"/>
      <c r="F395" s="22"/>
      <c r="G395" s="23"/>
      <c r="H395" s="24"/>
      <c r="I395" s="19"/>
      <c r="J395" s="25"/>
      <c r="K395" s="26"/>
      <c r="L395" s="24"/>
      <c r="M395" s="19"/>
      <c r="N395" s="19"/>
      <c r="O395" s="19"/>
      <c r="P395" s="19"/>
    </row>
    <row r="396" ht="15.75" customHeight="1">
      <c r="A396" s="27"/>
      <c r="B396" s="19"/>
      <c r="C396" s="19"/>
      <c r="D396" s="20"/>
      <c r="E396" s="28"/>
      <c r="F396" s="22"/>
      <c r="G396" s="23"/>
      <c r="H396" s="24"/>
      <c r="I396" s="19"/>
      <c r="J396" s="25"/>
      <c r="K396" s="26"/>
      <c r="L396" s="24"/>
      <c r="M396" s="19"/>
      <c r="N396" s="19"/>
      <c r="O396" s="19"/>
      <c r="P396" s="19"/>
    </row>
    <row r="397" ht="15.75" customHeight="1">
      <c r="A397" s="27"/>
      <c r="B397" s="19"/>
      <c r="C397" s="19"/>
      <c r="D397" s="20"/>
      <c r="E397" s="28"/>
      <c r="F397" s="22"/>
      <c r="G397" s="23"/>
      <c r="H397" s="24"/>
      <c r="I397" s="19"/>
      <c r="J397" s="25"/>
      <c r="K397" s="26"/>
      <c r="L397" s="24"/>
      <c r="M397" s="19"/>
      <c r="N397" s="19"/>
      <c r="O397" s="19"/>
      <c r="P397" s="19"/>
    </row>
    <row r="398" ht="15.75" customHeight="1">
      <c r="A398" s="27"/>
      <c r="B398" s="19"/>
      <c r="C398" s="19"/>
      <c r="D398" s="20"/>
      <c r="E398" s="28"/>
      <c r="F398" s="22"/>
      <c r="G398" s="23"/>
      <c r="H398" s="24"/>
      <c r="I398" s="19"/>
      <c r="J398" s="25"/>
      <c r="K398" s="26"/>
      <c r="L398" s="24"/>
      <c r="M398" s="19"/>
      <c r="N398" s="19"/>
      <c r="O398" s="19"/>
      <c r="P398" s="19"/>
    </row>
    <row r="399" ht="15.75" customHeight="1">
      <c r="A399" s="27"/>
      <c r="B399" s="19"/>
      <c r="C399" s="19"/>
      <c r="D399" s="20"/>
      <c r="E399" s="28"/>
      <c r="F399" s="22"/>
      <c r="G399" s="23"/>
      <c r="H399" s="24"/>
      <c r="I399" s="19"/>
      <c r="J399" s="25"/>
      <c r="K399" s="26"/>
      <c r="L399" s="24"/>
      <c r="M399" s="19"/>
      <c r="N399" s="19"/>
      <c r="O399" s="19"/>
      <c r="P399" s="19"/>
    </row>
    <row r="400" ht="15.75" customHeight="1">
      <c r="A400" s="27"/>
      <c r="B400" s="19"/>
      <c r="C400" s="19"/>
      <c r="D400" s="20"/>
      <c r="E400" s="28"/>
      <c r="F400" s="22"/>
      <c r="G400" s="23"/>
      <c r="H400" s="24"/>
      <c r="I400" s="19"/>
      <c r="J400" s="25"/>
      <c r="K400" s="26"/>
      <c r="L400" s="24"/>
      <c r="M400" s="19"/>
      <c r="N400" s="19"/>
      <c r="O400" s="19"/>
      <c r="P400" s="19"/>
    </row>
    <row r="401" ht="15.75" customHeight="1">
      <c r="A401" s="27"/>
      <c r="B401" s="19"/>
      <c r="C401" s="19"/>
      <c r="D401" s="20"/>
      <c r="E401" s="28"/>
      <c r="F401" s="22"/>
      <c r="G401" s="23"/>
      <c r="H401" s="24"/>
      <c r="I401" s="19"/>
      <c r="J401" s="25"/>
      <c r="K401" s="26"/>
      <c r="L401" s="24"/>
      <c r="M401" s="19"/>
      <c r="N401" s="19"/>
      <c r="O401" s="19"/>
      <c r="P401" s="19"/>
    </row>
    <row r="402" ht="15.75" customHeight="1">
      <c r="A402" s="27"/>
      <c r="B402" s="19"/>
      <c r="C402" s="19"/>
      <c r="D402" s="20"/>
      <c r="E402" s="28"/>
      <c r="F402" s="22"/>
      <c r="G402" s="23"/>
      <c r="H402" s="24"/>
      <c r="I402" s="19"/>
      <c r="J402" s="25"/>
      <c r="K402" s="26"/>
      <c r="L402" s="24"/>
      <c r="M402" s="19"/>
      <c r="N402" s="19"/>
      <c r="O402" s="19"/>
      <c r="P402" s="19"/>
    </row>
    <row r="403" ht="15.75" customHeight="1">
      <c r="A403" s="27"/>
      <c r="B403" s="19"/>
      <c r="C403" s="19"/>
      <c r="D403" s="20"/>
      <c r="E403" s="28"/>
      <c r="F403" s="22"/>
      <c r="G403" s="23"/>
      <c r="H403" s="24"/>
      <c r="I403" s="19"/>
      <c r="J403" s="25"/>
      <c r="K403" s="26"/>
      <c r="L403" s="24"/>
      <c r="M403" s="19"/>
      <c r="N403" s="19"/>
      <c r="O403" s="19"/>
      <c r="P403" s="19"/>
    </row>
    <row r="404" ht="15.75" customHeight="1">
      <c r="A404" s="27"/>
      <c r="B404" s="19"/>
      <c r="C404" s="19"/>
      <c r="D404" s="20"/>
      <c r="E404" s="28"/>
      <c r="F404" s="22"/>
      <c r="G404" s="23"/>
      <c r="H404" s="24"/>
      <c r="I404" s="19"/>
      <c r="J404" s="25"/>
      <c r="K404" s="26"/>
      <c r="L404" s="24"/>
      <c r="M404" s="19"/>
      <c r="N404" s="19"/>
      <c r="O404" s="19"/>
      <c r="P404" s="19"/>
    </row>
    <row r="405" ht="15.75" customHeight="1">
      <c r="A405" s="27"/>
      <c r="B405" s="19"/>
      <c r="C405" s="19"/>
      <c r="D405" s="20"/>
      <c r="E405" s="28"/>
      <c r="F405" s="22"/>
      <c r="G405" s="23"/>
      <c r="H405" s="24"/>
      <c r="I405" s="19"/>
      <c r="J405" s="25"/>
      <c r="K405" s="26"/>
      <c r="L405" s="24"/>
      <c r="M405" s="19"/>
      <c r="N405" s="19"/>
      <c r="O405" s="19"/>
      <c r="P405" s="19"/>
    </row>
    <row r="406" ht="15.75" customHeight="1">
      <c r="A406" s="27"/>
      <c r="B406" s="19"/>
      <c r="C406" s="19"/>
      <c r="D406" s="20"/>
      <c r="E406" s="28"/>
      <c r="F406" s="22"/>
      <c r="G406" s="23"/>
      <c r="H406" s="24"/>
      <c r="I406" s="19"/>
      <c r="J406" s="25"/>
      <c r="K406" s="26"/>
      <c r="L406" s="24"/>
      <c r="M406" s="19"/>
      <c r="N406" s="19"/>
      <c r="O406" s="19"/>
      <c r="P406" s="19"/>
    </row>
    <row r="407" ht="15.75" customHeight="1">
      <c r="A407" s="27"/>
      <c r="B407" s="19"/>
      <c r="C407" s="19"/>
      <c r="D407" s="20"/>
      <c r="E407" s="28"/>
      <c r="F407" s="22"/>
      <c r="G407" s="23"/>
      <c r="H407" s="24"/>
      <c r="I407" s="19"/>
      <c r="J407" s="25"/>
      <c r="K407" s="26"/>
      <c r="L407" s="24"/>
      <c r="M407" s="19"/>
      <c r="N407" s="19"/>
      <c r="O407" s="19"/>
      <c r="P407" s="19"/>
    </row>
    <row r="408" ht="15.75" customHeight="1">
      <c r="A408" s="27"/>
      <c r="B408" s="19"/>
      <c r="C408" s="19"/>
      <c r="D408" s="20"/>
      <c r="E408" s="28"/>
      <c r="F408" s="22"/>
      <c r="G408" s="23"/>
      <c r="H408" s="24"/>
      <c r="I408" s="19"/>
      <c r="J408" s="25"/>
      <c r="K408" s="26"/>
      <c r="L408" s="24"/>
      <c r="M408" s="19"/>
      <c r="N408" s="19"/>
      <c r="O408" s="19"/>
      <c r="P408" s="19"/>
    </row>
    <row r="409" ht="15.75" customHeight="1">
      <c r="A409" s="27"/>
      <c r="B409" s="19"/>
      <c r="C409" s="19"/>
      <c r="D409" s="20"/>
      <c r="E409" s="28"/>
      <c r="F409" s="22"/>
      <c r="G409" s="23"/>
      <c r="H409" s="24"/>
      <c r="I409" s="19"/>
      <c r="J409" s="25"/>
      <c r="K409" s="26"/>
      <c r="L409" s="24"/>
      <c r="M409" s="19"/>
      <c r="N409" s="19"/>
      <c r="O409" s="19"/>
      <c r="P409" s="19"/>
    </row>
    <row r="410" ht="15.75" customHeight="1">
      <c r="A410" s="27"/>
      <c r="B410" s="19"/>
      <c r="C410" s="19"/>
      <c r="D410" s="20"/>
      <c r="E410" s="28"/>
      <c r="F410" s="22"/>
      <c r="G410" s="23"/>
      <c r="H410" s="24"/>
      <c r="I410" s="19"/>
      <c r="J410" s="25"/>
      <c r="K410" s="26"/>
      <c r="L410" s="24"/>
      <c r="M410" s="19"/>
      <c r="N410" s="19"/>
      <c r="O410" s="19"/>
      <c r="P410" s="19"/>
    </row>
    <row r="411" ht="15.75" customHeight="1">
      <c r="A411" s="27"/>
      <c r="B411" s="19"/>
      <c r="C411" s="19"/>
      <c r="D411" s="20"/>
      <c r="E411" s="28"/>
      <c r="F411" s="22"/>
      <c r="G411" s="23"/>
      <c r="H411" s="24"/>
      <c r="I411" s="19"/>
      <c r="J411" s="25"/>
      <c r="K411" s="26"/>
      <c r="L411" s="24"/>
      <c r="M411" s="19"/>
      <c r="N411" s="19"/>
      <c r="O411" s="19"/>
      <c r="P411" s="19"/>
    </row>
    <row r="412" ht="15.75" customHeight="1">
      <c r="A412" s="27"/>
      <c r="B412" s="19"/>
      <c r="C412" s="19"/>
      <c r="D412" s="20"/>
      <c r="E412" s="28"/>
      <c r="F412" s="22"/>
      <c r="G412" s="23"/>
      <c r="H412" s="24"/>
      <c r="I412" s="19"/>
      <c r="J412" s="25"/>
      <c r="K412" s="26"/>
      <c r="L412" s="24"/>
      <c r="M412" s="19"/>
      <c r="N412" s="19"/>
      <c r="O412" s="19"/>
      <c r="P412" s="19"/>
    </row>
    <row r="413" ht="15.75" customHeight="1">
      <c r="A413" s="27"/>
      <c r="B413" s="19"/>
      <c r="C413" s="19"/>
      <c r="D413" s="20"/>
      <c r="E413" s="28"/>
      <c r="F413" s="22"/>
      <c r="G413" s="23"/>
      <c r="H413" s="24"/>
      <c r="I413" s="19"/>
      <c r="J413" s="25"/>
      <c r="K413" s="26"/>
      <c r="L413" s="24"/>
      <c r="M413" s="19"/>
      <c r="N413" s="19"/>
      <c r="O413" s="19"/>
      <c r="P413" s="19"/>
    </row>
    <row r="414" ht="15.75" customHeight="1">
      <c r="A414" s="27"/>
      <c r="B414" s="19"/>
      <c r="C414" s="19"/>
      <c r="D414" s="20"/>
      <c r="E414" s="28"/>
      <c r="F414" s="22"/>
      <c r="G414" s="23"/>
      <c r="H414" s="24"/>
      <c r="I414" s="19"/>
      <c r="J414" s="25"/>
      <c r="K414" s="26"/>
      <c r="L414" s="24"/>
      <c r="M414" s="19"/>
      <c r="N414" s="19"/>
      <c r="O414" s="19"/>
      <c r="P414" s="19"/>
    </row>
    <row r="415" ht="15.75" customHeight="1">
      <c r="A415" s="27"/>
      <c r="B415" s="19"/>
      <c r="C415" s="19"/>
      <c r="D415" s="20"/>
      <c r="E415" s="28"/>
      <c r="F415" s="22"/>
      <c r="G415" s="23"/>
      <c r="H415" s="24"/>
      <c r="I415" s="19"/>
      <c r="J415" s="25"/>
      <c r="K415" s="26"/>
      <c r="L415" s="24"/>
      <c r="M415" s="19"/>
      <c r="N415" s="19"/>
      <c r="O415" s="19"/>
      <c r="P415" s="19"/>
    </row>
    <row r="416" ht="15.75" customHeight="1">
      <c r="A416" s="27"/>
      <c r="B416" s="19"/>
      <c r="C416" s="19"/>
      <c r="D416" s="20"/>
      <c r="E416" s="28"/>
      <c r="F416" s="22"/>
      <c r="G416" s="23"/>
      <c r="H416" s="24"/>
      <c r="I416" s="19"/>
      <c r="J416" s="25"/>
      <c r="K416" s="26"/>
      <c r="L416" s="24"/>
      <c r="M416" s="19"/>
      <c r="N416" s="19"/>
      <c r="O416" s="19"/>
      <c r="P416" s="19"/>
    </row>
    <row r="417" ht="15.75" customHeight="1">
      <c r="A417" s="27"/>
      <c r="B417" s="19"/>
      <c r="C417" s="19"/>
      <c r="D417" s="20"/>
      <c r="E417" s="28"/>
      <c r="F417" s="22"/>
      <c r="G417" s="23"/>
      <c r="H417" s="24"/>
      <c r="I417" s="19"/>
      <c r="J417" s="25"/>
      <c r="K417" s="26"/>
      <c r="L417" s="24"/>
      <c r="M417" s="19"/>
      <c r="N417" s="19"/>
      <c r="O417" s="19"/>
      <c r="P417" s="19"/>
    </row>
    <row r="418" ht="15.75" customHeight="1">
      <c r="A418" s="27"/>
      <c r="B418" s="19"/>
      <c r="C418" s="19"/>
      <c r="D418" s="20"/>
      <c r="E418" s="28"/>
      <c r="F418" s="22"/>
      <c r="G418" s="23"/>
      <c r="H418" s="24"/>
      <c r="I418" s="19"/>
      <c r="J418" s="25"/>
      <c r="K418" s="26"/>
      <c r="L418" s="24"/>
      <c r="M418" s="19"/>
      <c r="N418" s="19"/>
      <c r="O418" s="19"/>
      <c r="P418" s="19"/>
    </row>
    <row r="419" ht="15.75" customHeight="1">
      <c r="A419" s="27"/>
      <c r="B419" s="19"/>
      <c r="C419" s="19"/>
      <c r="D419" s="20"/>
      <c r="E419" s="28"/>
      <c r="F419" s="22"/>
      <c r="G419" s="23"/>
      <c r="H419" s="24"/>
      <c r="I419" s="19"/>
      <c r="J419" s="25"/>
      <c r="K419" s="26"/>
      <c r="L419" s="24"/>
      <c r="M419" s="19"/>
      <c r="N419" s="19"/>
      <c r="O419" s="19"/>
      <c r="P419" s="19"/>
    </row>
    <row r="420" ht="15.75" customHeight="1">
      <c r="A420" s="27"/>
      <c r="B420" s="19"/>
      <c r="C420" s="19"/>
      <c r="D420" s="20"/>
      <c r="E420" s="28"/>
      <c r="F420" s="22"/>
      <c r="G420" s="23"/>
      <c r="H420" s="24"/>
      <c r="I420" s="19"/>
      <c r="J420" s="25"/>
      <c r="K420" s="26"/>
      <c r="L420" s="24"/>
      <c r="M420" s="19"/>
      <c r="N420" s="19"/>
      <c r="O420" s="19"/>
      <c r="P420" s="19"/>
    </row>
    <row r="421" ht="15.75" customHeight="1">
      <c r="A421" s="27"/>
      <c r="B421" s="19"/>
      <c r="C421" s="19"/>
      <c r="D421" s="20"/>
      <c r="E421" s="28"/>
      <c r="F421" s="22"/>
      <c r="G421" s="23"/>
      <c r="H421" s="24"/>
      <c r="I421" s="19"/>
      <c r="J421" s="25"/>
      <c r="K421" s="26"/>
      <c r="L421" s="24"/>
      <c r="M421" s="19"/>
      <c r="N421" s="19"/>
      <c r="O421" s="19"/>
      <c r="P421" s="19"/>
    </row>
    <row r="422" ht="15.75" customHeight="1">
      <c r="A422" s="27"/>
      <c r="B422" s="19"/>
      <c r="C422" s="19"/>
      <c r="D422" s="20"/>
      <c r="E422" s="28"/>
      <c r="F422" s="22"/>
      <c r="G422" s="23"/>
      <c r="H422" s="24"/>
      <c r="I422" s="19"/>
      <c r="J422" s="25"/>
      <c r="K422" s="26"/>
      <c r="L422" s="24"/>
      <c r="M422" s="19"/>
      <c r="N422" s="19"/>
      <c r="O422" s="19"/>
      <c r="P422" s="19"/>
    </row>
    <row r="423" ht="15.75" customHeight="1">
      <c r="A423" s="27"/>
      <c r="B423" s="19"/>
      <c r="C423" s="19"/>
      <c r="D423" s="20"/>
      <c r="E423" s="28"/>
      <c r="F423" s="22"/>
      <c r="G423" s="23"/>
      <c r="H423" s="24"/>
      <c r="I423" s="19"/>
      <c r="J423" s="25"/>
      <c r="K423" s="26"/>
      <c r="L423" s="24"/>
      <c r="M423" s="19"/>
      <c r="N423" s="19"/>
      <c r="O423" s="19"/>
      <c r="P423" s="19"/>
    </row>
    <row r="424" ht="15.75" customHeight="1">
      <c r="A424" s="27"/>
      <c r="B424" s="19"/>
      <c r="C424" s="19"/>
      <c r="D424" s="20"/>
      <c r="E424" s="28"/>
      <c r="F424" s="22"/>
      <c r="G424" s="23"/>
      <c r="H424" s="24"/>
      <c r="I424" s="19"/>
      <c r="J424" s="25"/>
      <c r="K424" s="26"/>
      <c r="L424" s="24"/>
      <c r="M424" s="19"/>
      <c r="N424" s="19"/>
      <c r="O424" s="19"/>
      <c r="P424" s="19"/>
    </row>
    <row r="425" ht="15.75" customHeight="1">
      <c r="A425" s="27"/>
      <c r="B425" s="19"/>
      <c r="C425" s="19"/>
      <c r="D425" s="20"/>
      <c r="E425" s="28"/>
      <c r="F425" s="22"/>
      <c r="G425" s="23"/>
      <c r="H425" s="24"/>
      <c r="I425" s="19"/>
      <c r="J425" s="25"/>
      <c r="K425" s="26"/>
      <c r="L425" s="24"/>
      <c r="M425" s="19"/>
      <c r="N425" s="19"/>
      <c r="O425" s="19"/>
      <c r="P425" s="19"/>
    </row>
    <row r="426" ht="15.75" customHeight="1">
      <c r="A426" s="27"/>
      <c r="B426" s="19"/>
      <c r="C426" s="19"/>
      <c r="D426" s="20"/>
      <c r="E426" s="28"/>
      <c r="F426" s="22"/>
      <c r="G426" s="23"/>
      <c r="H426" s="24"/>
      <c r="I426" s="19"/>
      <c r="J426" s="25"/>
      <c r="K426" s="26"/>
      <c r="L426" s="24"/>
      <c r="M426" s="19"/>
      <c r="N426" s="19"/>
      <c r="O426" s="19"/>
      <c r="P426" s="19"/>
    </row>
    <row r="427" ht="15.75" customHeight="1">
      <c r="A427" s="27"/>
      <c r="B427" s="19"/>
      <c r="C427" s="19"/>
      <c r="D427" s="20"/>
      <c r="E427" s="28"/>
      <c r="F427" s="22"/>
      <c r="G427" s="23"/>
      <c r="H427" s="24"/>
      <c r="I427" s="19"/>
      <c r="J427" s="25"/>
      <c r="K427" s="26"/>
      <c r="L427" s="24"/>
      <c r="M427" s="19"/>
      <c r="N427" s="19"/>
      <c r="O427" s="19"/>
      <c r="P427" s="19"/>
    </row>
    <row r="428" ht="15.75" customHeight="1">
      <c r="A428" s="27"/>
      <c r="B428" s="19"/>
      <c r="C428" s="19"/>
      <c r="D428" s="20"/>
      <c r="E428" s="28"/>
      <c r="F428" s="22"/>
      <c r="G428" s="23"/>
      <c r="H428" s="24"/>
      <c r="I428" s="19"/>
      <c r="J428" s="25"/>
      <c r="K428" s="26"/>
      <c r="L428" s="24"/>
      <c r="M428" s="19"/>
      <c r="N428" s="19"/>
      <c r="O428" s="19"/>
      <c r="P428" s="19"/>
    </row>
    <row r="429" ht="15.75" customHeight="1">
      <c r="A429" s="27"/>
      <c r="B429" s="19"/>
      <c r="C429" s="19"/>
      <c r="D429" s="20"/>
      <c r="E429" s="28"/>
      <c r="F429" s="22"/>
      <c r="G429" s="23"/>
      <c r="H429" s="24"/>
      <c r="I429" s="19"/>
      <c r="J429" s="25"/>
      <c r="K429" s="26"/>
      <c r="L429" s="24"/>
      <c r="M429" s="19"/>
      <c r="N429" s="19"/>
      <c r="O429" s="19"/>
      <c r="P429" s="19"/>
    </row>
    <row r="430" ht="15.75" customHeight="1">
      <c r="A430" s="27"/>
      <c r="B430" s="19"/>
      <c r="C430" s="19"/>
      <c r="D430" s="20"/>
      <c r="E430" s="28"/>
      <c r="F430" s="22"/>
      <c r="G430" s="23"/>
      <c r="H430" s="24"/>
      <c r="I430" s="19"/>
      <c r="J430" s="25"/>
      <c r="K430" s="26"/>
      <c r="L430" s="24"/>
      <c r="M430" s="19"/>
      <c r="N430" s="19"/>
      <c r="O430" s="19"/>
      <c r="P430" s="19"/>
    </row>
    <row r="431" ht="15.75" customHeight="1">
      <c r="A431" s="27"/>
      <c r="B431" s="19"/>
      <c r="C431" s="19"/>
      <c r="D431" s="20"/>
      <c r="E431" s="28"/>
      <c r="F431" s="22"/>
      <c r="G431" s="23"/>
      <c r="H431" s="24"/>
      <c r="I431" s="19"/>
      <c r="J431" s="25"/>
      <c r="K431" s="26"/>
      <c r="L431" s="24"/>
      <c r="M431" s="19"/>
      <c r="N431" s="19"/>
      <c r="O431" s="19"/>
      <c r="P431" s="19"/>
    </row>
    <row r="432" ht="15.75" customHeight="1">
      <c r="A432" s="27"/>
      <c r="B432" s="19"/>
      <c r="C432" s="19"/>
      <c r="D432" s="20"/>
      <c r="E432" s="28"/>
      <c r="F432" s="22"/>
      <c r="G432" s="23"/>
      <c r="H432" s="24"/>
      <c r="I432" s="19"/>
      <c r="J432" s="25"/>
      <c r="K432" s="26"/>
      <c r="L432" s="24"/>
      <c r="M432" s="19"/>
      <c r="N432" s="19"/>
      <c r="O432" s="19"/>
      <c r="P432" s="19"/>
    </row>
    <row r="433" ht="15.75" customHeight="1">
      <c r="A433" s="27"/>
      <c r="B433" s="19"/>
      <c r="C433" s="19"/>
      <c r="D433" s="20"/>
      <c r="E433" s="28"/>
      <c r="F433" s="22"/>
      <c r="G433" s="23"/>
      <c r="H433" s="24"/>
      <c r="I433" s="19"/>
      <c r="J433" s="25"/>
      <c r="K433" s="26"/>
      <c r="L433" s="24"/>
      <c r="M433" s="19"/>
      <c r="N433" s="19"/>
      <c r="O433" s="19"/>
      <c r="P433" s="19"/>
    </row>
    <row r="434" ht="15.75" customHeight="1">
      <c r="A434" s="27"/>
      <c r="B434" s="19"/>
      <c r="C434" s="19"/>
      <c r="D434" s="20"/>
      <c r="E434" s="28"/>
      <c r="F434" s="22"/>
      <c r="G434" s="23"/>
      <c r="H434" s="24"/>
      <c r="I434" s="19"/>
      <c r="J434" s="25"/>
      <c r="K434" s="26"/>
      <c r="L434" s="24"/>
      <c r="M434" s="19"/>
      <c r="N434" s="19"/>
      <c r="O434" s="19"/>
      <c r="P434" s="19"/>
    </row>
    <row r="435" ht="15.75" customHeight="1">
      <c r="A435" s="27"/>
      <c r="B435" s="19"/>
      <c r="C435" s="19"/>
      <c r="D435" s="20"/>
      <c r="E435" s="28"/>
      <c r="F435" s="22"/>
      <c r="G435" s="23"/>
      <c r="H435" s="24"/>
      <c r="I435" s="19"/>
      <c r="J435" s="25"/>
      <c r="K435" s="26"/>
      <c r="L435" s="24"/>
      <c r="M435" s="19"/>
      <c r="N435" s="19"/>
      <c r="O435" s="19"/>
      <c r="P435" s="19"/>
    </row>
    <row r="436" ht="15.75" customHeight="1">
      <c r="A436" s="27"/>
      <c r="B436" s="19"/>
      <c r="C436" s="19"/>
      <c r="D436" s="20"/>
      <c r="E436" s="28"/>
      <c r="F436" s="22"/>
      <c r="G436" s="23"/>
      <c r="H436" s="24"/>
      <c r="I436" s="19"/>
      <c r="J436" s="25"/>
      <c r="K436" s="26"/>
      <c r="L436" s="24"/>
      <c r="M436" s="19"/>
      <c r="N436" s="19"/>
      <c r="O436" s="19"/>
      <c r="P436" s="19"/>
    </row>
    <row r="437" ht="15.75" customHeight="1">
      <c r="A437" s="27"/>
      <c r="B437" s="19"/>
      <c r="C437" s="19"/>
      <c r="D437" s="20"/>
      <c r="E437" s="28"/>
      <c r="F437" s="22"/>
      <c r="G437" s="23"/>
      <c r="H437" s="24"/>
      <c r="I437" s="19"/>
      <c r="J437" s="25"/>
      <c r="K437" s="26"/>
      <c r="L437" s="24"/>
      <c r="M437" s="19"/>
      <c r="N437" s="19"/>
      <c r="O437" s="19"/>
      <c r="P437" s="19"/>
    </row>
    <row r="438" ht="15.75" customHeight="1">
      <c r="A438" s="27"/>
      <c r="B438" s="19"/>
      <c r="C438" s="19"/>
      <c r="D438" s="20"/>
      <c r="E438" s="28"/>
      <c r="F438" s="22"/>
      <c r="G438" s="23"/>
      <c r="H438" s="24"/>
      <c r="I438" s="19"/>
      <c r="J438" s="25"/>
      <c r="K438" s="26"/>
      <c r="L438" s="24"/>
      <c r="M438" s="19"/>
      <c r="N438" s="19"/>
      <c r="O438" s="19"/>
      <c r="P438" s="19"/>
    </row>
    <row r="439" ht="15.75" customHeight="1">
      <c r="A439" s="27"/>
      <c r="B439" s="19"/>
      <c r="C439" s="19"/>
      <c r="D439" s="20"/>
      <c r="E439" s="28"/>
      <c r="F439" s="22"/>
      <c r="G439" s="23"/>
      <c r="H439" s="24"/>
      <c r="I439" s="19"/>
      <c r="J439" s="25"/>
      <c r="K439" s="26"/>
      <c r="L439" s="24"/>
      <c r="M439" s="19"/>
      <c r="N439" s="19"/>
      <c r="O439" s="19"/>
      <c r="P439" s="19"/>
    </row>
    <row r="440" ht="15.75" customHeight="1">
      <c r="A440" s="27"/>
      <c r="B440" s="19"/>
      <c r="C440" s="19"/>
      <c r="D440" s="20"/>
      <c r="E440" s="28"/>
      <c r="F440" s="22"/>
      <c r="G440" s="23"/>
      <c r="H440" s="24"/>
      <c r="I440" s="19"/>
      <c r="J440" s="25"/>
      <c r="K440" s="26"/>
      <c r="L440" s="24"/>
      <c r="M440" s="19"/>
      <c r="N440" s="19"/>
      <c r="O440" s="19"/>
      <c r="P440" s="19"/>
    </row>
    <row r="441" ht="15.75" customHeight="1">
      <c r="A441" s="27"/>
      <c r="B441" s="19"/>
      <c r="C441" s="19"/>
      <c r="D441" s="20"/>
      <c r="E441" s="28"/>
      <c r="F441" s="22"/>
      <c r="G441" s="23"/>
      <c r="H441" s="24"/>
      <c r="I441" s="19"/>
      <c r="J441" s="25"/>
      <c r="K441" s="26"/>
      <c r="L441" s="24"/>
      <c r="M441" s="19"/>
      <c r="N441" s="19"/>
      <c r="O441" s="19"/>
      <c r="P441" s="19"/>
    </row>
    <row r="442" ht="15.75" customHeight="1">
      <c r="A442" s="27"/>
      <c r="B442" s="19"/>
      <c r="C442" s="19"/>
      <c r="D442" s="20"/>
      <c r="E442" s="28"/>
      <c r="F442" s="22"/>
      <c r="G442" s="23"/>
      <c r="H442" s="24"/>
      <c r="I442" s="19"/>
      <c r="J442" s="25"/>
      <c r="K442" s="26"/>
      <c r="L442" s="24"/>
      <c r="M442" s="19"/>
      <c r="N442" s="19"/>
      <c r="O442" s="19"/>
      <c r="P442" s="19"/>
    </row>
    <row r="443" ht="15.75" customHeight="1">
      <c r="A443" s="27"/>
      <c r="B443" s="19"/>
      <c r="C443" s="19"/>
      <c r="D443" s="20"/>
      <c r="E443" s="28"/>
      <c r="F443" s="22"/>
      <c r="G443" s="23"/>
      <c r="H443" s="24"/>
      <c r="I443" s="19"/>
      <c r="J443" s="25"/>
      <c r="K443" s="26"/>
      <c r="L443" s="24"/>
      <c r="M443" s="19"/>
      <c r="N443" s="19"/>
      <c r="O443" s="19"/>
      <c r="P443" s="19"/>
    </row>
    <row r="444" ht="15.75" customHeight="1">
      <c r="A444" s="27"/>
      <c r="B444" s="19"/>
      <c r="C444" s="19"/>
      <c r="D444" s="20"/>
      <c r="E444" s="28"/>
      <c r="F444" s="22"/>
      <c r="G444" s="23"/>
      <c r="H444" s="24"/>
      <c r="I444" s="19"/>
      <c r="J444" s="25"/>
      <c r="K444" s="26"/>
      <c r="L444" s="24"/>
      <c r="M444" s="19"/>
      <c r="N444" s="19"/>
      <c r="O444" s="19"/>
      <c r="P444" s="19"/>
    </row>
    <row r="445" ht="15.75" customHeight="1">
      <c r="A445" s="27"/>
      <c r="B445" s="19"/>
      <c r="C445" s="19"/>
      <c r="D445" s="20"/>
      <c r="E445" s="28"/>
      <c r="F445" s="22"/>
      <c r="G445" s="23"/>
      <c r="H445" s="24"/>
      <c r="I445" s="19"/>
      <c r="J445" s="25"/>
      <c r="K445" s="26"/>
      <c r="L445" s="24"/>
      <c r="M445" s="19"/>
      <c r="N445" s="19"/>
      <c r="O445" s="19"/>
      <c r="P445" s="19"/>
    </row>
    <row r="446" ht="15.75" customHeight="1">
      <c r="A446" s="27"/>
      <c r="B446" s="19"/>
      <c r="C446" s="19"/>
      <c r="D446" s="20"/>
      <c r="E446" s="28"/>
      <c r="F446" s="22"/>
      <c r="G446" s="23"/>
      <c r="H446" s="24"/>
      <c r="I446" s="19"/>
      <c r="J446" s="25"/>
      <c r="K446" s="26"/>
      <c r="L446" s="24"/>
      <c r="M446" s="19"/>
      <c r="N446" s="19"/>
      <c r="O446" s="19"/>
      <c r="P446" s="19"/>
    </row>
    <row r="447" ht="15.75" customHeight="1">
      <c r="A447" s="27"/>
      <c r="B447" s="19"/>
      <c r="C447" s="19"/>
      <c r="D447" s="20"/>
      <c r="E447" s="28"/>
      <c r="F447" s="22"/>
      <c r="G447" s="23"/>
      <c r="H447" s="24"/>
      <c r="I447" s="19"/>
      <c r="J447" s="25"/>
      <c r="K447" s="26"/>
      <c r="L447" s="24"/>
      <c r="M447" s="19"/>
      <c r="N447" s="19"/>
      <c r="O447" s="19"/>
      <c r="P447" s="19"/>
    </row>
    <row r="448" ht="15.75" customHeight="1">
      <c r="A448" s="27"/>
      <c r="B448" s="19"/>
      <c r="C448" s="19"/>
      <c r="D448" s="20"/>
      <c r="E448" s="28"/>
      <c r="F448" s="22"/>
      <c r="G448" s="23"/>
      <c r="H448" s="24"/>
      <c r="I448" s="19"/>
      <c r="J448" s="25"/>
      <c r="K448" s="26"/>
      <c r="L448" s="24"/>
      <c r="M448" s="19"/>
      <c r="N448" s="19"/>
      <c r="O448" s="19"/>
      <c r="P448" s="19"/>
    </row>
    <row r="449" ht="15.75" customHeight="1">
      <c r="A449" s="27"/>
      <c r="B449" s="19"/>
      <c r="C449" s="19"/>
      <c r="D449" s="20"/>
      <c r="E449" s="28"/>
      <c r="F449" s="22"/>
      <c r="G449" s="23"/>
      <c r="H449" s="24"/>
      <c r="I449" s="19"/>
      <c r="J449" s="25"/>
      <c r="K449" s="26"/>
      <c r="L449" s="24"/>
      <c r="M449" s="19"/>
      <c r="N449" s="19"/>
      <c r="O449" s="19"/>
      <c r="P449" s="19"/>
    </row>
    <row r="450" ht="15.75" customHeight="1">
      <c r="A450" s="27"/>
      <c r="B450" s="19"/>
      <c r="C450" s="19"/>
      <c r="D450" s="20"/>
      <c r="E450" s="28"/>
      <c r="F450" s="22"/>
      <c r="G450" s="23"/>
      <c r="H450" s="24"/>
      <c r="I450" s="19"/>
      <c r="J450" s="25"/>
      <c r="K450" s="26"/>
      <c r="L450" s="24"/>
      <c r="M450" s="19"/>
      <c r="N450" s="19"/>
      <c r="O450" s="19"/>
      <c r="P450" s="19"/>
    </row>
    <row r="451" ht="15.75" customHeight="1">
      <c r="A451" s="27"/>
      <c r="B451" s="19"/>
      <c r="C451" s="19"/>
      <c r="D451" s="20"/>
      <c r="E451" s="28"/>
      <c r="F451" s="22"/>
      <c r="G451" s="23"/>
      <c r="H451" s="24"/>
      <c r="I451" s="19"/>
      <c r="J451" s="25"/>
      <c r="K451" s="26"/>
      <c r="L451" s="24"/>
      <c r="M451" s="19"/>
      <c r="N451" s="19"/>
      <c r="O451" s="19"/>
      <c r="P451" s="19"/>
    </row>
    <row r="452" ht="15.75" customHeight="1">
      <c r="A452" s="27"/>
      <c r="B452" s="19"/>
      <c r="C452" s="19"/>
      <c r="D452" s="20"/>
      <c r="E452" s="28"/>
      <c r="F452" s="22"/>
      <c r="G452" s="23"/>
      <c r="H452" s="24"/>
      <c r="I452" s="19"/>
      <c r="J452" s="25"/>
      <c r="K452" s="26"/>
      <c r="L452" s="24"/>
      <c r="M452" s="19"/>
      <c r="N452" s="19"/>
      <c r="O452" s="19"/>
      <c r="P452" s="19"/>
    </row>
    <row r="453" ht="15.75" customHeight="1">
      <c r="A453" s="27"/>
      <c r="B453" s="19"/>
      <c r="C453" s="19"/>
      <c r="D453" s="20"/>
      <c r="E453" s="28"/>
      <c r="F453" s="22"/>
      <c r="G453" s="23"/>
      <c r="H453" s="24"/>
      <c r="I453" s="19"/>
      <c r="J453" s="25"/>
      <c r="K453" s="26"/>
      <c r="L453" s="24"/>
      <c r="M453" s="19"/>
      <c r="N453" s="19"/>
      <c r="O453" s="19"/>
      <c r="P453" s="19"/>
    </row>
    <row r="454" ht="15.75" customHeight="1">
      <c r="A454" s="27"/>
      <c r="B454" s="19"/>
      <c r="C454" s="19"/>
      <c r="D454" s="20"/>
      <c r="E454" s="28"/>
      <c r="F454" s="22"/>
      <c r="G454" s="23"/>
      <c r="H454" s="24"/>
      <c r="I454" s="19"/>
      <c r="J454" s="25"/>
      <c r="K454" s="26"/>
      <c r="L454" s="24"/>
      <c r="M454" s="19"/>
      <c r="N454" s="19"/>
      <c r="O454" s="19"/>
      <c r="P454" s="19"/>
    </row>
    <row r="455" ht="15.75" customHeight="1">
      <c r="A455" s="27"/>
      <c r="B455" s="19"/>
      <c r="C455" s="19"/>
      <c r="D455" s="20"/>
      <c r="E455" s="28"/>
      <c r="F455" s="22"/>
      <c r="G455" s="23"/>
      <c r="H455" s="24"/>
      <c r="I455" s="19"/>
      <c r="J455" s="25"/>
      <c r="K455" s="26"/>
      <c r="L455" s="24"/>
      <c r="M455" s="19"/>
      <c r="N455" s="19"/>
      <c r="O455" s="19"/>
      <c r="P455" s="19"/>
    </row>
    <row r="456" ht="15.75" customHeight="1">
      <c r="A456" s="27"/>
      <c r="B456" s="19"/>
      <c r="C456" s="19"/>
      <c r="D456" s="20"/>
      <c r="E456" s="28"/>
      <c r="F456" s="22"/>
      <c r="G456" s="23"/>
      <c r="H456" s="24"/>
      <c r="I456" s="19"/>
      <c r="J456" s="25"/>
      <c r="K456" s="26"/>
      <c r="L456" s="24"/>
      <c r="M456" s="19"/>
      <c r="N456" s="19"/>
      <c r="O456" s="19"/>
      <c r="P456" s="19"/>
    </row>
    <row r="457" ht="15.75" customHeight="1">
      <c r="A457" s="27"/>
      <c r="B457" s="19"/>
      <c r="C457" s="19"/>
      <c r="D457" s="20"/>
      <c r="E457" s="28"/>
      <c r="F457" s="22"/>
      <c r="G457" s="23"/>
      <c r="H457" s="24"/>
      <c r="I457" s="19"/>
      <c r="J457" s="25"/>
      <c r="K457" s="26"/>
      <c r="L457" s="24"/>
      <c r="M457" s="19"/>
      <c r="N457" s="19"/>
      <c r="O457" s="19"/>
      <c r="P457" s="19"/>
    </row>
    <row r="458" ht="15.75" customHeight="1">
      <c r="A458" s="27"/>
      <c r="B458" s="19"/>
      <c r="C458" s="19"/>
      <c r="D458" s="20"/>
      <c r="E458" s="28"/>
      <c r="F458" s="22"/>
      <c r="G458" s="23"/>
      <c r="H458" s="24"/>
      <c r="I458" s="19"/>
      <c r="J458" s="25"/>
      <c r="K458" s="26"/>
      <c r="L458" s="24"/>
      <c r="M458" s="19"/>
      <c r="N458" s="19"/>
      <c r="O458" s="19"/>
      <c r="P458" s="19"/>
    </row>
    <row r="459" ht="15.75" customHeight="1">
      <c r="A459" s="27"/>
      <c r="B459" s="19"/>
      <c r="C459" s="19"/>
      <c r="D459" s="20"/>
      <c r="E459" s="28"/>
      <c r="F459" s="22"/>
      <c r="G459" s="23"/>
      <c r="H459" s="24"/>
      <c r="I459" s="19"/>
      <c r="J459" s="25"/>
      <c r="K459" s="26"/>
      <c r="L459" s="24"/>
      <c r="M459" s="19"/>
      <c r="N459" s="19"/>
      <c r="O459" s="19"/>
      <c r="P459" s="19"/>
    </row>
    <row r="460" ht="15.75" customHeight="1">
      <c r="A460" s="27"/>
      <c r="B460" s="19"/>
      <c r="C460" s="19"/>
      <c r="D460" s="20"/>
      <c r="E460" s="28"/>
      <c r="F460" s="22"/>
      <c r="G460" s="23"/>
      <c r="H460" s="24"/>
      <c r="I460" s="19"/>
      <c r="J460" s="25"/>
      <c r="K460" s="26"/>
      <c r="L460" s="24"/>
      <c r="M460" s="19"/>
      <c r="N460" s="19"/>
      <c r="O460" s="19"/>
      <c r="P460" s="19"/>
    </row>
    <row r="461" ht="15.75" customHeight="1">
      <c r="A461" s="27"/>
      <c r="B461" s="19"/>
      <c r="C461" s="19"/>
      <c r="D461" s="20"/>
      <c r="E461" s="28"/>
      <c r="F461" s="22"/>
      <c r="G461" s="23"/>
      <c r="H461" s="24"/>
      <c r="I461" s="19"/>
      <c r="J461" s="25"/>
      <c r="K461" s="26"/>
      <c r="L461" s="24"/>
      <c r="M461" s="19"/>
      <c r="N461" s="19"/>
      <c r="O461" s="19"/>
      <c r="P461" s="19"/>
    </row>
    <row r="462" ht="15.75" customHeight="1">
      <c r="A462" s="27"/>
      <c r="B462" s="19"/>
      <c r="C462" s="19"/>
      <c r="D462" s="20"/>
      <c r="E462" s="28"/>
      <c r="F462" s="22"/>
      <c r="G462" s="23"/>
      <c r="H462" s="24"/>
      <c r="I462" s="19"/>
      <c r="J462" s="25"/>
      <c r="K462" s="26"/>
      <c r="L462" s="24"/>
      <c r="M462" s="19"/>
      <c r="N462" s="19"/>
      <c r="O462" s="19"/>
      <c r="P462" s="19"/>
    </row>
    <row r="463" ht="15.75" customHeight="1">
      <c r="A463" s="27"/>
      <c r="B463" s="19"/>
      <c r="C463" s="19"/>
      <c r="D463" s="20"/>
      <c r="E463" s="28"/>
      <c r="F463" s="22"/>
      <c r="G463" s="23"/>
      <c r="H463" s="24"/>
      <c r="I463" s="19"/>
      <c r="J463" s="25"/>
      <c r="K463" s="26"/>
      <c r="L463" s="24"/>
      <c r="M463" s="19"/>
      <c r="N463" s="19"/>
      <c r="O463" s="19"/>
      <c r="P463" s="19"/>
    </row>
    <row r="464" ht="15.75" customHeight="1">
      <c r="A464" s="27"/>
      <c r="B464" s="19"/>
      <c r="C464" s="19"/>
      <c r="D464" s="20"/>
      <c r="E464" s="28"/>
      <c r="F464" s="22"/>
      <c r="G464" s="23"/>
      <c r="H464" s="24"/>
      <c r="I464" s="19"/>
      <c r="J464" s="25"/>
      <c r="K464" s="26"/>
      <c r="L464" s="24"/>
      <c r="M464" s="19"/>
      <c r="N464" s="19"/>
      <c r="O464" s="19"/>
      <c r="P464" s="19"/>
    </row>
    <row r="465" ht="15.75" customHeight="1">
      <c r="A465" s="27"/>
      <c r="B465" s="19"/>
      <c r="C465" s="19"/>
      <c r="D465" s="20"/>
      <c r="E465" s="28"/>
      <c r="F465" s="22"/>
      <c r="G465" s="23"/>
      <c r="H465" s="24"/>
      <c r="I465" s="19"/>
      <c r="J465" s="25"/>
      <c r="K465" s="26"/>
      <c r="L465" s="24"/>
      <c r="M465" s="19"/>
      <c r="N465" s="19"/>
      <c r="O465" s="19"/>
      <c r="P465" s="19"/>
    </row>
    <row r="466" ht="15.75" customHeight="1">
      <c r="A466" s="27"/>
      <c r="B466" s="19"/>
      <c r="C466" s="19"/>
      <c r="D466" s="20"/>
      <c r="E466" s="28"/>
      <c r="F466" s="22"/>
      <c r="G466" s="23"/>
      <c r="H466" s="24"/>
      <c r="I466" s="19"/>
      <c r="J466" s="25"/>
      <c r="K466" s="26"/>
      <c r="L466" s="24"/>
      <c r="M466" s="19"/>
      <c r="N466" s="19"/>
      <c r="O466" s="19"/>
      <c r="P466" s="19"/>
    </row>
    <row r="467" ht="15.75" customHeight="1">
      <c r="A467" s="27"/>
      <c r="B467" s="19"/>
      <c r="C467" s="19"/>
      <c r="D467" s="20"/>
      <c r="E467" s="28"/>
      <c r="F467" s="22"/>
      <c r="G467" s="23"/>
      <c r="H467" s="24"/>
      <c r="I467" s="19"/>
      <c r="J467" s="25"/>
      <c r="K467" s="26"/>
      <c r="L467" s="24"/>
      <c r="M467" s="19"/>
      <c r="N467" s="19"/>
      <c r="O467" s="19"/>
      <c r="P467" s="19"/>
    </row>
    <row r="468" ht="15.75" customHeight="1">
      <c r="A468" s="27"/>
      <c r="B468" s="19"/>
      <c r="C468" s="19"/>
      <c r="D468" s="20"/>
      <c r="E468" s="28"/>
      <c r="F468" s="22"/>
      <c r="G468" s="23"/>
      <c r="H468" s="24"/>
      <c r="I468" s="19"/>
      <c r="J468" s="25"/>
      <c r="K468" s="26"/>
      <c r="L468" s="24"/>
      <c r="M468" s="19"/>
      <c r="N468" s="19"/>
      <c r="O468" s="19"/>
      <c r="P468" s="19"/>
    </row>
    <row r="469" ht="15.75" customHeight="1">
      <c r="A469" s="27"/>
      <c r="B469" s="19"/>
      <c r="C469" s="19"/>
      <c r="D469" s="20"/>
      <c r="E469" s="28"/>
      <c r="F469" s="22"/>
      <c r="G469" s="23"/>
      <c r="H469" s="24"/>
      <c r="I469" s="19"/>
      <c r="J469" s="25"/>
      <c r="K469" s="26"/>
      <c r="L469" s="24"/>
      <c r="M469" s="19"/>
      <c r="N469" s="19"/>
      <c r="O469" s="19"/>
      <c r="P469" s="19"/>
    </row>
    <row r="470" ht="15.75" customHeight="1">
      <c r="A470" s="27"/>
      <c r="B470" s="19"/>
      <c r="C470" s="19"/>
      <c r="D470" s="20"/>
      <c r="E470" s="28"/>
      <c r="F470" s="22"/>
      <c r="G470" s="23"/>
      <c r="H470" s="24"/>
      <c r="I470" s="19"/>
      <c r="J470" s="25"/>
      <c r="K470" s="26"/>
      <c r="L470" s="24"/>
      <c r="M470" s="19"/>
      <c r="N470" s="19"/>
      <c r="O470" s="19"/>
      <c r="P470" s="19"/>
    </row>
    <row r="471" ht="15.75" customHeight="1">
      <c r="A471" s="27"/>
      <c r="B471" s="19"/>
      <c r="C471" s="19"/>
      <c r="D471" s="20"/>
      <c r="E471" s="28"/>
      <c r="F471" s="22"/>
      <c r="G471" s="23"/>
      <c r="H471" s="24"/>
      <c r="I471" s="19"/>
      <c r="J471" s="25"/>
      <c r="K471" s="26"/>
      <c r="L471" s="24"/>
      <c r="M471" s="19"/>
      <c r="N471" s="19"/>
      <c r="O471" s="19"/>
      <c r="P471" s="19"/>
    </row>
    <row r="472" ht="15.75" customHeight="1">
      <c r="A472" s="27"/>
      <c r="B472" s="19"/>
      <c r="C472" s="19"/>
      <c r="D472" s="20"/>
      <c r="E472" s="28"/>
      <c r="F472" s="22"/>
      <c r="G472" s="23"/>
      <c r="H472" s="24"/>
      <c r="I472" s="19"/>
      <c r="J472" s="25"/>
      <c r="K472" s="26"/>
      <c r="L472" s="24"/>
      <c r="M472" s="19"/>
      <c r="N472" s="19"/>
      <c r="O472" s="19"/>
      <c r="P472" s="19"/>
    </row>
    <row r="473" ht="15.75" customHeight="1">
      <c r="A473" s="27"/>
      <c r="B473" s="19"/>
      <c r="C473" s="19"/>
      <c r="D473" s="20"/>
      <c r="E473" s="28"/>
      <c r="F473" s="22"/>
      <c r="G473" s="23"/>
      <c r="H473" s="24"/>
      <c r="I473" s="19"/>
      <c r="J473" s="25"/>
      <c r="K473" s="26"/>
      <c r="L473" s="24"/>
      <c r="M473" s="19"/>
      <c r="N473" s="19"/>
      <c r="O473" s="19"/>
      <c r="P473" s="19"/>
    </row>
    <row r="474" ht="15.75" customHeight="1">
      <c r="A474" s="27"/>
      <c r="B474" s="19"/>
      <c r="C474" s="19"/>
      <c r="D474" s="20"/>
      <c r="E474" s="28"/>
      <c r="F474" s="22"/>
      <c r="G474" s="23"/>
      <c r="H474" s="24"/>
      <c r="I474" s="19"/>
      <c r="J474" s="25"/>
      <c r="K474" s="26"/>
      <c r="L474" s="24"/>
      <c r="M474" s="19"/>
      <c r="N474" s="19"/>
      <c r="O474" s="19"/>
      <c r="P474" s="19"/>
    </row>
    <row r="475" ht="15.75" customHeight="1">
      <c r="A475" s="27"/>
      <c r="B475" s="19"/>
      <c r="C475" s="19"/>
      <c r="D475" s="20"/>
      <c r="E475" s="28"/>
      <c r="F475" s="22"/>
      <c r="G475" s="23"/>
      <c r="H475" s="24"/>
      <c r="I475" s="19"/>
      <c r="J475" s="25"/>
      <c r="K475" s="26"/>
      <c r="L475" s="24"/>
      <c r="M475" s="19"/>
      <c r="N475" s="19"/>
      <c r="O475" s="19"/>
      <c r="P475" s="19"/>
    </row>
    <row r="476" ht="15.75" customHeight="1">
      <c r="A476" s="27"/>
      <c r="B476" s="19"/>
      <c r="C476" s="19"/>
      <c r="D476" s="20"/>
      <c r="E476" s="28"/>
      <c r="F476" s="22"/>
      <c r="G476" s="23"/>
      <c r="H476" s="24"/>
      <c r="I476" s="19"/>
      <c r="J476" s="25"/>
      <c r="K476" s="26"/>
      <c r="L476" s="24"/>
      <c r="M476" s="19"/>
      <c r="N476" s="19"/>
      <c r="O476" s="19"/>
      <c r="P476" s="19"/>
    </row>
    <row r="477" ht="15.75" customHeight="1">
      <c r="A477" s="27"/>
      <c r="B477" s="19"/>
      <c r="C477" s="19"/>
      <c r="D477" s="20"/>
      <c r="E477" s="28"/>
      <c r="F477" s="22"/>
      <c r="G477" s="23"/>
      <c r="H477" s="24"/>
      <c r="I477" s="19"/>
      <c r="J477" s="25"/>
      <c r="K477" s="26"/>
      <c r="L477" s="24"/>
      <c r="M477" s="19"/>
      <c r="N477" s="19"/>
      <c r="O477" s="19"/>
      <c r="P477" s="19"/>
    </row>
    <row r="478" ht="15.75" customHeight="1">
      <c r="A478" s="27"/>
      <c r="B478" s="19"/>
      <c r="C478" s="19"/>
      <c r="D478" s="20"/>
      <c r="E478" s="28"/>
      <c r="F478" s="22"/>
      <c r="G478" s="23"/>
      <c r="H478" s="24"/>
      <c r="I478" s="19"/>
      <c r="J478" s="25"/>
      <c r="K478" s="26"/>
      <c r="L478" s="24"/>
      <c r="M478" s="19"/>
      <c r="N478" s="19"/>
      <c r="O478" s="19"/>
      <c r="P478" s="19"/>
    </row>
    <row r="479" ht="15.75" customHeight="1">
      <c r="A479" s="27"/>
      <c r="B479" s="19"/>
      <c r="C479" s="19"/>
      <c r="D479" s="20"/>
      <c r="E479" s="28"/>
      <c r="F479" s="22"/>
      <c r="G479" s="23"/>
      <c r="H479" s="24"/>
      <c r="I479" s="19"/>
      <c r="J479" s="25"/>
      <c r="K479" s="26"/>
      <c r="L479" s="24"/>
      <c r="M479" s="19"/>
      <c r="N479" s="19"/>
      <c r="O479" s="19"/>
      <c r="P479" s="19"/>
    </row>
    <row r="480" ht="15.75" customHeight="1">
      <c r="A480" s="27"/>
      <c r="B480" s="19"/>
      <c r="C480" s="19"/>
      <c r="D480" s="20"/>
      <c r="E480" s="28"/>
      <c r="F480" s="22"/>
      <c r="G480" s="23"/>
      <c r="H480" s="24"/>
      <c r="I480" s="19"/>
      <c r="J480" s="25"/>
      <c r="K480" s="26"/>
      <c r="L480" s="24"/>
      <c r="M480" s="19"/>
      <c r="N480" s="19"/>
      <c r="O480" s="19"/>
      <c r="P480" s="19"/>
    </row>
    <row r="481" ht="15.75" customHeight="1">
      <c r="A481" s="27"/>
      <c r="B481" s="19"/>
      <c r="C481" s="19"/>
      <c r="D481" s="20"/>
      <c r="E481" s="28"/>
      <c r="F481" s="22"/>
      <c r="G481" s="23"/>
      <c r="H481" s="24"/>
      <c r="I481" s="19"/>
      <c r="J481" s="25"/>
      <c r="K481" s="26"/>
      <c r="L481" s="24"/>
      <c r="M481" s="19"/>
      <c r="N481" s="19"/>
      <c r="O481" s="19"/>
      <c r="P481" s="19"/>
    </row>
    <row r="482" ht="15.75" customHeight="1">
      <c r="A482" s="27"/>
      <c r="B482" s="19"/>
      <c r="C482" s="19"/>
      <c r="D482" s="20"/>
      <c r="E482" s="28"/>
      <c r="F482" s="22"/>
      <c r="G482" s="23"/>
      <c r="H482" s="24"/>
      <c r="I482" s="19"/>
      <c r="J482" s="25"/>
      <c r="K482" s="26"/>
      <c r="L482" s="24"/>
      <c r="M482" s="19"/>
      <c r="N482" s="19"/>
      <c r="O482" s="19"/>
      <c r="P482" s="19"/>
    </row>
    <row r="483" ht="15.75" customHeight="1">
      <c r="A483" s="27"/>
      <c r="B483" s="19"/>
      <c r="C483" s="19"/>
      <c r="D483" s="20"/>
      <c r="E483" s="28"/>
      <c r="F483" s="22"/>
      <c r="G483" s="23"/>
      <c r="H483" s="24"/>
      <c r="I483" s="19"/>
      <c r="J483" s="25"/>
      <c r="K483" s="26"/>
      <c r="L483" s="24"/>
      <c r="M483" s="19"/>
      <c r="N483" s="19"/>
      <c r="O483" s="19"/>
      <c r="P483" s="19"/>
    </row>
    <row r="484" ht="15.75" customHeight="1">
      <c r="A484" s="27"/>
      <c r="B484" s="19"/>
      <c r="C484" s="19"/>
      <c r="D484" s="20"/>
      <c r="E484" s="28"/>
      <c r="F484" s="22"/>
      <c r="G484" s="23"/>
      <c r="H484" s="24"/>
      <c r="I484" s="19"/>
      <c r="J484" s="25"/>
      <c r="K484" s="26"/>
      <c r="L484" s="24"/>
      <c r="M484" s="19"/>
      <c r="N484" s="19"/>
      <c r="O484" s="19"/>
      <c r="P484" s="19"/>
    </row>
    <row r="485" ht="15.75" customHeight="1">
      <c r="A485" s="27"/>
      <c r="B485" s="19"/>
      <c r="C485" s="19"/>
      <c r="D485" s="20"/>
      <c r="E485" s="28"/>
      <c r="F485" s="22"/>
      <c r="G485" s="23"/>
      <c r="H485" s="24"/>
      <c r="I485" s="19"/>
      <c r="J485" s="25"/>
      <c r="K485" s="26"/>
      <c r="L485" s="24"/>
      <c r="M485" s="19"/>
      <c r="N485" s="19"/>
      <c r="O485" s="19"/>
      <c r="P485" s="19"/>
    </row>
    <row r="486" ht="15.75" customHeight="1">
      <c r="A486" s="27"/>
      <c r="B486" s="19"/>
      <c r="C486" s="19"/>
      <c r="D486" s="20"/>
      <c r="E486" s="28"/>
      <c r="F486" s="22"/>
      <c r="G486" s="23"/>
      <c r="H486" s="24"/>
      <c r="I486" s="19"/>
      <c r="J486" s="25"/>
      <c r="K486" s="26"/>
      <c r="L486" s="24"/>
      <c r="M486" s="19"/>
      <c r="N486" s="19"/>
      <c r="O486" s="19"/>
      <c r="P486" s="19"/>
    </row>
    <row r="487" ht="15.75" customHeight="1">
      <c r="A487" s="27"/>
      <c r="B487" s="19"/>
      <c r="C487" s="19"/>
      <c r="D487" s="20"/>
      <c r="E487" s="28"/>
      <c r="F487" s="22"/>
      <c r="G487" s="23"/>
      <c r="H487" s="24"/>
      <c r="I487" s="19"/>
      <c r="J487" s="25"/>
      <c r="K487" s="26"/>
      <c r="L487" s="24"/>
      <c r="M487" s="19"/>
      <c r="N487" s="19"/>
      <c r="O487" s="19"/>
      <c r="P487" s="19"/>
    </row>
    <row r="488" ht="15.75" customHeight="1">
      <c r="A488" s="27"/>
      <c r="B488" s="19"/>
      <c r="C488" s="19"/>
      <c r="D488" s="20"/>
      <c r="E488" s="28"/>
      <c r="F488" s="22"/>
      <c r="G488" s="23"/>
      <c r="H488" s="24"/>
      <c r="I488" s="19"/>
      <c r="J488" s="25"/>
      <c r="K488" s="26"/>
      <c r="L488" s="24"/>
      <c r="M488" s="19"/>
      <c r="N488" s="19"/>
      <c r="O488" s="19"/>
      <c r="P488" s="19"/>
    </row>
    <row r="489" ht="15.75" customHeight="1">
      <c r="A489" s="27"/>
      <c r="B489" s="19"/>
      <c r="C489" s="19"/>
      <c r="D489" s="20"/>
      <c r="E489" s="28"/>
      <c r="F489" s="22"/>
      <c r="G489" s="23"/>
      <c r="H489" s="24"/>
      <c r="I489" s="19"/>
      <c r="J489" s="25"/>
      <c r="K489" s="26"/>
      <c r="L489" s="24"/>
      <c r="M489" s="19"/>
      <c r="N489" s="19"/>
      <c r="O489" s="19"/>
      <c r="P489" s="19"/>
    </row>
    <row r="490" ht="15.75" customHeight="1">
      <c r="A490" s="27"/>
      <c r="B490" s="19"/>
      <c r="C490" s="19"/>
      <c r="D490" s="20"/>
      <c r="E490" s="28"/>
      <c r="F490" s="22"/>
      <c r="G490" s="23"/>
      <c r="H490" s="24"/>
      <c r="I490" s="19"/>
      <c r="J490" s="25"/>
      <c r="K490" s="26"/>
      <c r="L490" s="24"/>
      <c r="M490" s="19"/>
      <c r="N490" s="19"/>
      <c r="O490" s="19"/>
      <c r="P490" s="19"/>
    </row>
    <row r="491" ht="15.75" customHeight="1">
      <c r="A491" s="27"/>
      <c r="B491" s="19"/>
      <c r="C491" s="19"/>
      <c r="D491" s="20"/>
      <c r="E491" s="28"/>
      <c r="F491" s="22"/>
      <c r="G491" s="23"/>
      <c r="H491" s="24"/>
      <c r="I491" s="19"/>
      <c r="J491" s="25"/>
      <c r="K491" s="26"/>
      <c r="L491" s="24"/>
      <c r="M491" s="19"/>
      <c r="N491" s="19"/>
      <c r="O491" s="19"/>
      <c r="P491" s="19"/>
    </row>
    <row r="492" ht="15.75" customHeight="1">
      <c r="A492" s="27"/>
      <c r="B492" s="19"/>
      <c r="C492" s="19"/>
      <c r="D492" s="20"/>
      <c r="E492" s="28"/>
      <c r="F492" s="22"/>
      <c r="G492" s="23"/>
      <c r="H492" s="24"/>
      <c r="I492" s="19"/>
      <c r="J492" s="25"/>
      <c r="K492" s="26"/>
      <c r="L492" s="24"/>
      <c r="M492" s="19"/>
      <c r="N492" s="19"/>
      <c r="O492" s="19"/>
      <c r="P492" s="19"/>
    </row>
    <row r="493" ht="15.75" customHeight="1">
      <c r="A493" s="27"/>
      <c r="B493" s="19"/>
      <c r="C493" s="19"/>
      <c r="D493" s="20"/>
      <c r="E493" s="28"/>
      <c r="F493" s="22"/>
      <c r="G493" s="23"/>
      <c r="H493" s="24"/>
      <c r="I493" s="19"/>
      <c r="J493" s="25"/>
      <c r="K493" s="26"/>
      <c r="L493" s="24"/>
      <c r="M493" s="19"/>
      <c r="N493" s="19"/>
      <c r="O493" s="19"/>
      <c r="P493" s="19"/>
    </row>
    <row r="494" ht="15.75" customHeight="1">
      <c r="A494" s="27"/>
      <c r="B494" s="19"/>
      <c r="C494" s="19"/>
      <c r="D494" s="20"/>
      <c r="E494" s="28"/>
      <c r="F494" s="22"/>
      <c r="G494" s="23"/>
      <c r="H494" s="24"/>
      <c r="I494" s="19"/>
      <c r="J494" s="25"/>
      <c r="K494" s="26"/>
      <c r="L494" s="24"/>
      <c r="M494" s="19"/>
      <c r="N494" s="19"/>
      <c r="O494" s="19"/>
      <c r="P494" s="19"/>
    </row>
    <row r="495" ht="15.75" customHeight="1">
      <c r="A495" s="27"/>
      <c r="B495" s="19"/>
      <c r="C495" s="19"/>
      <c r="D495" s="20"/>
      <c r="E495" s="28"/>
      <c r="F495" s="22"/>
      <c r="G495" s="23"/>
      <c r="H495" s="24"/>
      <c r="I495" s="19"/>
      <c r="J495" s="25"/>
      <c r="K495" s="26"/>
      <c r="L495" s="24"/>
      <c r="M495" s="19"/>
      <c r="N495" s="19"/>
      <c r="O495" s="19"/>
      <c r="P495" s="19"/>
    </row>
    <row r="496" ht="15.75" customHeight="1">
      <c r="A496" s="27"/>
      <c r="B496" s="19"/>
      <c r="C496" s="19"/>
      <c r="D496" s="20"/>
      <c r="E496" s="28"/>
      <c r="F496" s="22"/>
      <c r="G496" s="23"/>
      <c r="H496" s="24"/>
      <c r="I496" s="19"/>
      <c r="J496" s="25"/>
      <c r="K496" s="26"/>
      <c r="L496" s="24"/>
      <c r="M496" s="19"/>
      <c r="N496" s="19"/>
      <c r="O496" s="19"/>
      <c r="P496" s="19"/>
    </row>
    <row r="497" ht="15.75" customHeight="1">
      <c r="A497" s="27"/>
      <c r="B497" s="19"/>
      <c r="C497" s="19"/>
      <c r="D497" s="20"/>
      <c r="E497" s="28"/>
      <c r="F497" s="22"/>
      <c r="G497" s="23"/>
      <c r="H497" s="24"/>
      <c r="I497" s="19"/>
      <c r="J497" s="25"/>
      <c r="K497" s="26"/>
      <c r="L497" s="24"/>
      <c r="M497" s="19"/>
      <c r="N497" s="19"/>
      <c r="O497" s="19"/>
      <c r="P497" s="19"/>
    </row>
    <row r="498" ht="15.75" customHeight="1">
      <c r="A498" s="27"/>
      <c r="B498" s="19"/>
      <c r="C498" s="19"/>
      <c r="D498" s="20"/>
      <c r="E498" s="28"/>
      <c r="F498" s="22"/>
      <c r="G498" s="23"/>
      <c r="H498" s="24"/>
      <c r="I498" s="19"/>
      <c r="J498" s="25"/>
      <c r="K498" s="26"/>
      <c r="L498" s="24"/>
      <c r="M498" s="19"/>
      <c r="N498" s="19"/>
      <c r="O498" s="19"/>
      <c r="P498" s="19"/>
    </row>
    <row r="499" ht="15.75" customHeight="1">
      <c r="A499" s="27"/>
      <c r="B499" s="19"/>
      <c r="C499" s="19"/>
      <c r="D499" s="20"/>
      <c r="E499" s="28"/>
      <c r="F499" s="22"/>
      <c r="G499" s="23"/>
      <c r="H499" s="24"/>
      <c r="I499" s="19"/>
      <c r="J499" s="25"/>
      <c r="K499" s="26"/>
      <c r="L499" s="24"/>
      <c r="M499" s="19"/>
      <c r="N499" s="19"/>
      <c r="O499" s="19"/>
      <c r="P499" s="19"/>
    </row>
    <row r="500" ht="15.75" customHeight="1">
      <c r="A500" s="27"/>
      <c r="B500" s="19"/>
      <c r="C500" s="19"/>
      <c r="D500" s="20"/>
      <c r="E500" s="28"/>
      <c r="F500" s="22"/>
      <c r="G500" s="23"/>
      <c r="H500" s="24"/>
      <c r="I500" s="19"/>
      <c r="J500" s="25"/>
      <c r="K500" s="26"/>
      <c r="L500" s="24"/>
      <c r="M500" s="19"/>
      <c r="N500" s="19"/>
      <c r="O500" s="19"/>
      <c r="P500" s="19"/>
    </row>
    <row r="501" ht="15.75" customHeight="1">
      <c r="A501" s="27"/>
      <c r="B501" s="19"/>
      <c r="C501" s="19"/>
      <c r="D501" s="20"/>
      <c r="E501" s="28"/>
      <c r="F501" s="22"/>
      <c r="G501" s="23"/>
      <c r="H501" s="24"/>
      <c r="I501" s="19"/>
      <c r="J501" s="25"/>
      <c r="K501" s="26"/>
      <c r="L501" s="24"/>
      <c r="M501" s="19"/>
      <c r="N501" s="19"/>
      <c r="O501" s="19"/>
      <c r="P501" s="19"/>
    </row>
    <row r="502" ht="15.75" customHeight="1">
      <c r="A502" s="27"/>
      <c r="B502" s="19"/>
      <c r="C502" s="19"/>
      <c r="D502" s="20"/>
      <c r="E502" s="28"/>
      <c r="F502" s="22"/>
      <c r="G502" s="23"/>
      <c r="H502" s="24"/>
      <c r="I502" s="19"/>
      <c r="J502" s="25"/>
      <c r="K502" s="26"/>
      <c r="L502" s="24"/>
      <c r="M502" s="19"/>
      <c r="N502" s="19"/>
      <c r="O502" s="19"/>
      <c r="P502" s="19"/>
    </row>
    <row r="503" ht="15.75" customHeight="1">
      <c r="A503" s="27"/>
      <c r="B503" s="19"/>
      <c r="C503" s="19"/>
      <c r="D503" s="20"/>
      <c r="E503" s="28"/>
      <c r="F503" s="22"/>
      <c r="G503" s="23"/>
      <c r="H503" s="24"/>
      <c r="I503" s="19"/>
      <c r="J503" s="25"/>
      <c r="K503" s="26"/>
      <c r="L503" s="24"/>
      <c r="M503" s="19"/>
      <c r="N503" s="19"/>
      <c r="O503" s="19"/>
      <c r="P503" s="19"/>
    </row>
    <row r="504" ht="15.75" customHeight="1">
      <c r="A504" s="27"/>
      <c r="B504" s="19"/>
      <c r="C504" s="19"/>
      <c r="D504" s="20"/>
      <c r="E504" s="28"/>
      <c r="F504" s="22"/>
      <c r="G504" s="23"/>
      <c r="H504" s="24"/>
      <c r="I504" s="19"/>
      <c r="J504" s="25"/>
      <c r="K504" s="26"/>
      <c r="L504" s="24"/>
      <c r="M504" s="19"/>
      <c r="N504" s="19"/>
      <c r="O504" s="19"/>
      <c r="P504" s="19"/>
    </row>
    <row r="505" ht="15.75" customHeight="1">
      <c r="A505" s="27"/>
      <c r="B505" s="19"/>
      <c r="C505" s="19"/>
      <c r="D505" s="20"/>
      <c r="E505" s="28"/>
      <c r="F505" s="22"/>
      <c r="G505" s="23"/>
      <c r="H505" s="24"/>
      <c r="I505" s="19"/>
      <c r="J505" s="25"/>
      <c r="K505" s="26"/>
      <c r="L505" s="24"/>
      <c r="M505" s="19"/>
      <c r="N505" s="19"/>
      <c r="O505" s="19"/>
      <c r="P505" s="19"/>
    </row>
    <row r="506" ht="15.75" customHeight="1">
      <c r="A506" s="27"/>
      <c r="B506" s="19"/>
      <c r="C506" s="19"/>
      <c r="D506" s="20"/>
      <c r="E506" s="28"/>
      <c r="F506" s="22"/>
      <c r="G506" s="23"/>
      <c r="H506" s="24"/>
      <c r="I506" s="19"/>
      <c r="J506" s="25"/>
      <c r="K506" s="26"/>
      <c r="L506" s="24"/>
      <c r="M506" s="19"/>
      <c r="N506" s="19"/>
      <c r="O506" s="19"/>
      <c r="P506" s="19"/>
    </row>
    <row r="507" ht="15.75" customHeight="1">
      <c r="A507" s="27"/>
      <c r="B507" s="19"/>
      <c r="C507" s="19"/>
      <c r="D507" s="20"/>
      <c r="E507" s="28"/>
      <c r="F507" s="22"/>
      <c r="G507" s="23"/>
      <c r="H507" s="24"/>
      <c r="I507" s="19"/>
      <c r="J507" s="25"/>
      <c r="K507" s="26"/>
      <c r="L507" s="24"/>
      <c r="M507" s="19"/>
      <c r="N507" s="19"/>
      <c r="O507" s="19"/>
      <c r="P507" s="19"/>
    </row>
    <row r="508" ht="15.75" customHeight="1">
      <c r="A508" s="27"/>
      <c r="B508" s="19"/>
      <c r="C508" s="19"/>
      <c r="D508" s="20"/>
      <c r="E508" s="28"/>
      <c r="F508" s="22"/>
      <c r="G508" s="23"/>
      <c r="H508" s="24"/>
      <c r="I508" s="19"/>
      <c r="J508" s="25"/>
      <c r="K508" s="26"/>
      <c r="L508" s="24"/>
      <c r="M508" s="19"/>
      <c r="N508" s="19"/>
      <c r="O508" s="19"/>
      <c r="P508" s="19"/>
    </row>
    <row r="509" ht="15.75" customHeight="1">
      <c r="A509" s="27"/>
      <c r="B509" s="19"/>
      <c r="C509" s="19"/>
      <c r="D509" s="20"/>
      <c r="E509" s="28"/>
      <c r="F509" s="22"/>
      <c r="G509" s="23"/>
      <c r="H509" s="24"/>
      <c r="I509" s="19"/>
      <c r="J509" s="25"/>
      <c r="K509" s="26"/>
      <c r="L509" s="24"/>
      <c r="M509" s="19"/>
      <c r="N509" s="19"/>
      <c r="O509" s="19"/>
      <c r="P509" s="19"/>
    </row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O1"/>
  </mergeCells>
  <conditionalFormatting sqref="B1:L1 A3:A108 B3:B83 C3:C81 D3:D83 E3:E309 F3:L83">
    <cfRule type="expression" dxfId="0" priority="1">
      <formula>AND($N1="Production",$M1="iScout")</formula>
    </cfRule>
  </conditionalFormatting>
  <conditionalFormatting sqref="B1:L1 A3:A108 B3:B83 C3:C81 D3:D83 E3:E309 F3:L83">
    <cfRule type="expression" dxfId="1" priority="2">
      <formula>AND($N1="Production",$M1="XSA Neo")</formula>
    </cfRule>
  </conditionalFormatting>
  <conditionalFormatting sqref="A2:P2">
    <cfRule type="notContainsBlanks" dxfId="2" priority="3">
      <formula>LEN(TRIM(A2))&gt;0</formula>
    </cfRule>
  </conditionalFormatting>
  <conditionalFormatting sqref="B1:L1 A3:A108 B3:B83 C3:C81 D3:D83 E3:E309 F3:L83">
    <cfRule type="expression" dxfId="3" priority="4">
      <formula>AND($N1="Production",$M1="RTS")</formula>
    </cfRule>
  </conditionalFormatting>
  <conditionalFormatting sqref="B1:L1 A3:A108 B3:B83 C3:C81 D3:D83 E3:E309 F3:L83">
    <cfRule type="expression" dxfId="4" priority="5">
      <formula>AND($N1="Observer", $M1="iScout")</formula>
    </cfRule>
  </conditionalFormatting>
  <conditionalFormatting sqref="B1:L1 A3:A108 B3:B83 C3:C81 D3:D83 E3:E309 F3:L83">
    <cfRule type="expression" dxfId="5" priority="6">
      <formula>AND($N1="Observer",$M1="XSA Neo")</formula>
    </cfRule>
  </conditionalFormatting>
  <conditionalFormatting sqref="B1:L1 A3:A108 B3:B83 C3:C81 D3:D83 E3:E309 F3:L83">
    <cfRule type="expression" dxfId="6" priority="7">
      <formula>AND($N1="Observer",$M1="RTS")</formula>
    </cfRule>
  </conditionalFormatting>
  <conditionalFormatting sqref="B1:L1 A3:A108 B3:B83 C3:C81 D3:D83 E3:E309 F3:L83">
    <cfRule type="expression" dxfId="7" priority="8">
      <formula>AND($N1="Backup Time",$M1="iScout")</formula>
    </cfRule>
  </conditionalFormatting>
  <conditionalFormatting sqref="B1:L1 A3:A108 B3:B83 C3:C81 D3:D83 E3:E309 F3:L83">
    <cfRule type="expression" dxfId="8" priority="9">
      <formula>AND($N1="Backup",$M1="RTS")</formula>
    </cfRule>
  </conditionalFormatting>
  <conditionalFormatting sqref="B1:L1 A3:A108 B3:B83 C3:C81 D3:D83 E3:E309 F3:L83">
    <cfRule type="expression" dxfId="9" priority="10">
      <formula>$N1="Backup Time"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88"/>
    <col customWidth="1" min="3" max="3" width="12.63"/>
    <col customWidth="1" min="4" max="4" width="6.38"/>
    <col customWidth="1" min="5" max="5" width="12.63"/>
    <col customWidth="1" min="6" max="6" width="6.38"/>
    <col customWidth="1" min="7" max="7" width="12.63"/>
    <col customWidth="1" min="8" max="8" width="6.38"/>
    <col customWidth="1" min="9" max="9" width="12.63"/>
    <col customWidth="1" min="10" max="10" width="18.88"/>
    <col customWidth="1" min="11" max="11" width="12.88"/>
    <col customWidth="1" min="14" max="14" width="16.88"/>
    <col customWidth="1" hidden="1" min="15" max="17" width="12.63"/>
  </cols>
  <sheetData>
    <row r="1" ht="35.25" customHeight="1">
      <c r="A1" s="1" t="s">
        <v>16</v>
      </c>
    </row>
    <row r="2" ht="30.0" customHeight="1">
      <c r="A2" s="29">
        <v>46054.0</v>
      </c>
    </row>
    <row r="3" ht="70.5" customHeight="1">
      <c r="A3" s="30">
        <v>0.0</v>
      </c>
      <c r="C3" s="31">
        <v>0.0</v>
      </c>
      <c r="E3" s="32" t="s">
        <v>17</v>
      </c>
      <c r="G3" s="31" t="s">
        <v>18</v>
      </c>
      <c r="I3" s="32" t="s">
        <v>18</v>
      </c>
      <c r="J3" s="33">
        <v>0.0</v>
      </c>
      <c r="K3" s="34">
        <v>0.0</v>
      </c>
      <c r="L3" s="35">
        <v>0.0</v>
      </c>
      <c r="M3" s="36" t="s">
        <v>18</v>
      </c>
      <c r="N3" s="31" t="s">
        <v>18</v>
      </c>
    </row>
    <row r="4" ht="15.75" customHeight="1">
      <c r="A4" s="37" t="s">
        <v>19</v>
      </c>
      <c r="C4" s="38" t="s">
        <v>20</v>
      </c>
      <c r="E4" s="39" t="s">
        <v>21</v>
      </c>
      <c r="G4" s="40" t="s">
        <v>22</v>
      </c>
      <c r="I4" s="41" t="s">
        <v>23</v>
      </c>
      <c r="J4" s="42" t="s">
        <v>24</v>
      </c>
      <c r="K4" s="43" t="s">
        <v>25</v>
      </c>
      <c r="L4" s="44" t="s">
        <v>26</v>
      </c>
      <c r="M4" s="45" t="s">
        <v>27</v>
      </c>
      <c r="N4" s="46" t="s">
        <v>28</v>
      </c>
    </row>
    <row r="5" ht="22.5" customHeight="1">
      <c r="A5" s="47" t="s">
        <v>29</v>
      </c>
      <c r="E5" s="48" t="s">
        <v>3</v>
      </c>
      <c r="F5" s="48" t="s">
        <v>30</v>
      </c>
      <c r="G5" s="48" t="s">
        <v>31</v>
      </c>
      <c r="H5" s="49" t="s">
        <v>32</v>
      </c>
      <c r="I5" s="50" t="s">
        <v>33</v>
      </c>
      <c r="K5" s="51" t="s">
        <v>34</v>
      </c>
    </row>
    <row r="6" ht="22.5" customHeight="1">
      <c r="A6" s="52" t="s">
        <v>35</v>
      </c>
      <c r="B6" s="53" t="s">
        <v>36</v>
      </c>
      <c r="D6" s="54" t="s">
        <v>37</v>
      </c>
      <c r="E6" s="55"/>
      <c r="F6" s="56"/>
      <c r="G6" s="56"/>
      <c r="H6" s="56"/>
      <c r="I6" s="56"/>
      <c r="J6" s="57"/>
      <c r="K6" s="58" t="s">
        <v>38</v>
      </c>
      <c r="L6" s="58" t="s">
        <v>39</v>
      </c>
      <c r="M6" s="58" t="s">
        <v>39</v>
      </c>
      <c r="N6" s="58" t="s">
        <v>39</v>
      </c>
      <c r="P6" s="59"/>
    </row>
    <row r="7" ht="22.5" customHeight="1">
      <c r="A7" s="52" t="s">
        <v>40</v>
      </c>
      <c r="B7" s="60" t="s">
        <v>36</v>
      </c>
      <c r="D7" s="54" t="s">
        <v>37</v>
      </c>
      <c r="E7" s="55"/>
      <c r="F7" s="56"/>
      <c r="G7" s="56"/>
      <c r="H7" s="61"/>
      <c r="I7" s="62"/>
      <c r="J7" s="63"/>
      <c r="K7" s="64" t="s">
        <v>41</v>
      </c>
      <c r="L7" s="65" t="s">
        <v>18</v>
      </c>
      <c r="M7" s="66" t="s">
        <v>18</v>
      </c>
      <c r="N7" s="54" t="s">
        <v>18</v>
      </c>
      <c r="O7" s="67"/>
    </row>
    <row r="8" ht="22.5" customHeight="1">
      <c r="A8" s="52" t="s">
        <v>42</v>
      </c>
      <c r="B8" s="68" t="s">
        <v>36</v>
      </c>
      <c r="D8" s="54" t="s">
        <v>37</v>
      </c>
      <c r="E8" s="55"/>
      <c r="F8" s="56"/>
      <c r="G8" s="56"/>
      <c r="H8" s="61"/>
      <c r="I8" s="62"/>
      <c r="J8" s="63"/>
      <c r="K8" s="64" t="s">
        <v>43</v>
      </c>
      <c r="L8" s="69" t="s">
        <v>18</v>
      </c>
      <c r="M8" s="70" t="s">
        <v>18</v>
      </c>
      <c r="N8" s="71" t="s">
        <v>18</v>
      </c>
    </row>
    <row r="9" ht="22.5" customHeight="1">
      <c r="A9" s="52" t="s">
        <v>44</v>
      </c>
      <c r="B9" s="72" t="s">
        <v>36</v>
      </c>
      <c r="D9" s="54" t="s">
        <v>37</v>
      </c>
      <c r="E9" s="55"/>
      <c r="F9" s="56"/>
      <c r="G9" s="56"/>
      <c r="H9" s="61"/>
      <c r="I9" s="62"/>
      <c r="J9" s="63"/>
      <c r="K9" s="64" t="s">
        <v>27</v>
      </c>
      <c r="L9" s="65" t="s">
        <v>18</v>
      </c>
      <c r="M9" s="66" t="s">
        <v>18</v>
      </c>
      <c r="N9" s="54" t="s">
        <v>18</v>
      </c>
      <c r="Q9" s="59"/>
    </row>
    <row r="10" ht="22.5" customHeight="1">
      <c r="A10" s="52" t="s">
        <v>45</v>
      </c>
      <c r="B10" s="73" t="s">
        <v>36</v>
      </c>
      <c r="D10" s="54" t="s">
        <v>37</v>
      </c>
      <c r="E10" s="55"/>
      <c r="F10" s="56"/>
      <c r="G10" s="56"/>
      <c r="H10" s="61"/>
      <c r="I10" s="56"/>
      <c r="J10" s="57"/>
      <c r="K10" s="64" t="s">
        <v>46</v>
      </c>
      <c r="L10" s="74" t="s">
        <v>18</v>
      </c>
      <c r="M10" s="75"/>
      <c r="N10" s="75"/>
      <c r="Q10" s="59"/>
    </row>
    <row r="11" ht="22.5" customHeight="1">
      <c r="A11" s="52" t="s">
        <v>47</v>
      </c>
      <c r="B11" s="76" t="s">
        <v>36</v>
      </c>
      <c r="D11" s="54" t="s">
        <v>37</v>
      </c>
      <c r="E11" s="55"/>
      <c r="F11" s="77"/>
      <c r="G11" s="78"/>
      <c r="H11" s="61"/>
      <c r="I11" s="62"/>
      <c r="J11" s="63"/>
      <c r="K11" s="64" t="s">
        <v>48</v>
      </c>
      <c r="L11" s="79" t="s">
        <v>18</v>
      </c>
    </row>
    <row r="12" ht="22.5" customHeight="1">
      <c r="A12" s="52" t="s">
        <v>49</v>
      </c>
      <c r="B12" s="80" t="s">
        <v>36</v>
      </c>
      <c r="D12" s="54" t="s">
        <v>37</v>
      </c>
      <c r="E12" s="55"/>
      <c r="F12" s="77"/>
      <c r="G12" s="78"/>
      <c r="H12" s="61"/>
      <c r="I12" s="62"/>
      <c r="J12" s="63"/>
      <c r="K12" s="64" t="s">
        <v>50</v>
      </c>
      <c r="L12" s="81" t="s">
        <v>18</v>
      </c>
    </row>
    <row r="13" ht="22.5" customHeight="1">
      <c r="A13" s="82" t="s">
        <v>51</v>
      </c>
      <c r="E13" s="55"/>
      <c r="F13" s="77"/>
      <c r="G13" s="78"/>
      <c r="H13" s="61"/>
      <c r="I13" s="62"/>
      <c r="J13" s="63"/>
      <c r="K13" s="51" t="s">
        <v>52</v>
      </c>
    </row>
    <row r="14" ht="22.5" customHeight="1">
      <c r="A14" s="83" t="s">
        <v>53</v>
      </c>
      <c r="B14" s="84" t="s">
        <v>54</v>
      </c>
      <c r="D14" s="85">
        <v>0.0</v>
      </c>
      <c r="E14" s="55"/>
      <c r="F14" s="77"/>
      <c r="G14" s="78"/>
      <c r="H14" s="61"/>
      <c r="I14" s="62"/>
      <c r="J14" s="63"/>
      <c r="K14" s="64" t="s">
        <v>55</v>
      </c>
      <c r="L14" s="86" t="s">
        <v>18</v>
      </c>
    </row>
    <row r="15" ht="22.5" customHeight="1">
      <c r="A15" s="83" t="s">
        <v>56</v>
      </c>
      <c r="B15" s="87" t="s">
        <v>54</v>
      </c>
      <c r="D15" s="88">
        <v>0.0</v>
      </c>
      <c r="E15" s="55"/>
      <c r="F15" s="77"/>
      <c r="G15" s="78"/>
      <c r="H15" s="61"/>
      <c r="I15" s="62"/>
      <c r="J15" s="63"/>
      <c r="K15" s="64"/>
      <c r="L15" s="89" t="s">
        <v>18</v>
      </c>
    </row>
    <row r="16" ht="22.5" customHeight="1">
      <c r="A16" s="83" t="s">
        <v>57</v>
      </c>
      <c r="B16" s="90" t="s">
        <v>54</v>
      </c>
      <c r="D16" s="91">
        <v>0.0</v>
      </c>
      <c r="E16" s="55"/>
      <c r="F16" s="77"/>
      <c r="G16" s="78"/>
      <c r="H16" s="61"/>
      <c r="I16" s="62"/>
      <c r="J16" s="63"/>
      <c r="K16" s="64" t="s">
        <v>58</v>
      </c>
      <c r="L16" s="92" t="s">
        <v>18</v>
      </c>
    </row>
    <row r="17" ht="22.5" customHeight="1">
      <c r="A17" s="83" t="s">
        <v>59</v>
      </c>
      <c r="B17" s="93" t="s">
        <v>54</v>
      </c>
      <c r="D17" s="94">
        <v>0.0</v>
      </c>
      <c r="E17" s="55"/>
      <c r="F17" s="77"/>
      <c r="G17" s="78"/>
      <c r="H17" s="61"/>
      <c r="I17" s="62"/>
      <c r="J17" s="63"/>
      <c r="K17" s="64" t="s">
        <v>60</v>
      </c>
      <c r="L17" s="95" t="s">
        <v>18</v>
      </c>
    </row>
    <row r="18" ht="22.5" customHeight="1">
      <c r="A18" s="83" t="s">
        <v>61</v>
      </c>
      <c r="B18" s="84" t="s">
        <v>54</v>
      </c>
      <c r="D18" s="85">
        <v>0.0</v>
      </c>
      <c r="E18" s="55"/>
      <c r="F18" s="77"/>
      <c r="G18" s="78"/>
      <c r="H18" s="61"/>
      <c r="I18" s="62"/>
      <c r="J18" s="63"/>
      <c r="K18" s="51" t="s">
        <v>62</v>
      </c>
    </row>
    <row r="19" ht="22.5" customHeight="1">
      <c r="A19" s="83" t="s">
        <v>63</v>
      </c>
      <c r="B19" s="87" t="s">
        <v>54</v>
      </c>
      <c r="D19" s="88">
        <v>0.0</v>
      </c>
      <c r="E19" s="96"/>
      <c r="F19" s="97"/>
      <c r="G19" s="98"/>
      <c r="H19" s="99"/>
      <c r="I19" s="100"/>
      <c r="J19" s="63"/>
      <c r="K19" s="101"/>
      <c r="L19" s="102"/>
      <c r="N19" s="103"/>
    </row>
    <row r="20" ht="22.5" customHeight="1">
      <c r="A20" s="83" t="s">
        <v>64</v>
      </c>
      <c r="B20" s="90" t="s">
        <v>54</v>
      </c>
      <c r="D20" s="91">
        <v>0.0</v>
      </c>
      <c r="E20" s="96"/>
      <c r="F20" s="97"/>
      <c r="G20" s="98"/>
      <c r="H20" s="99"/>
      <c r="I20" s="100"/>
      <c r="J20" s="63"/>
      <c r="K20" s="101"/>
      <c r="L20" s="102"/>
      <c r="N20" s="103"/>
    </row>
    <row r="21" ht="22.5" customHeight="1">
      <c r="A21" s="83" t="s">
        <v>65</v>
      </c>
      <c r="B21" s="93" t="s">
        <v>54</v>
      </c>
      <c r="D21" s="94">
        <v>0.0</v>
      </c>
      <c r="E21" s="96"/>
      <c r="F21" s="97"/>
      <c r="G21" s="98"/>
      <c r="H21" s="99"/>
      <c r="I21" s="100"/>
      <c r="J21" s="63"/>
      <c r="K21" s="101"/>
      <c r="L21" s="102"/>
      <c r="N21" s="103"/>
    </row>
    <row r="22" ht="22.5" customHeight="1">
      <c r="A22" s="83" t="s">
        <v>66</v>
      </c>
      <c r="B22" s="84" t="s">
        <v>54</v>
      </c>
      <c r="D22" s="85">
        <v>0.0</v>
      </c>
      <c r="E22" s="96"/>
      <c r="F22" s="97"/>
      <c r="G22" s="98"/>
      <c r="H22" s="99"/>
      <c r="I22" s="100"/>
      <c r="J22" s="63"/>
      <c r="K22" s="101"/>
      <c r="L22" s="102"/>
      <c r="N22" s="103"/>
    </row>
    <row r="23" ht="22.5" customHeight="1">
      <c r="A23" s="83" t="s">
        <v>67</v>
      </c>
      <c r="B23" s="104" t="s">
        <v>54</v>
      </c>
      <c r="D23" s="105">
        <v>0.0</v>
      </c>
      <c r="E23" s="55"/>
      <c r="F23" s="77"/>
      <c r="G23" s="78"/>
      <c r="H23" s="61"/>
      <c r="I23" s="62"/>
      <c r="J23" s="63"/>
      <c r="K23" s="101"/>
      <c r="L23" s="102"/>
      <c r="N23" s="103"/>
    </row>
    <row r="24" ht="22.5" customHeight="1">
      <c r="A24" s="83" t="s">
        <v>68</v>
      </c>
      <c r="B24" s="90" t="s">
        <v>54</v>
      </c>
      <c r="D24" s="91">
        <v>0.0</v>
      </c>
      <c r="E24" s="55"/>
      <c r="F24" s="77"/>
      <c r="G24" s="78"/>
      <c r="H24" s="61"/>
      <c r="I24" s="62"/>
      <c r="J24" s="63"/>
      <c r="K24" s="101"/>
      <c r="L24" s="102"/>
      <c r="N24" s="103"/>
    </row>
    <row r="25" ht="22.5" customHeight="1">
      <c r="A25" s="106"/>
      <c r="B25" s="106"/>
      <c r="C25" s="106"/>
      <c r="D25" s="106"/>
      <c r="E25" s="96"/>
      <c r="F25" s="97"/>
      <c r="G25" s="98"/>
      <c r="H25" s="99"/>
      <c r="I25" s="100"/>
      <c r="J25" s="63"/>
      <c r="K25" s="107"/>
      <c r="L25" s="108"/>
      <c r="M25" s="107"/>
      <c r="N25" s="107"/>
    </row>
    <row r="26" ht="22.5" customHeight="1">
      <c r="A26" s="106"/>
      <c r="B26" s="106"/>
      <c r="C26" s="106"/>
      <c r="D26" s="106"/>
      <c r="E26" s="55"/>
      <c r="F26" s="77"/>
      <c r="G26" s="78"/>
      <c r="H26" s="61"/>
      <c r="I26" s="62"/>
      <c r="J26" s="63"/>
      <c r="K26" s="109"/>
      <c r="L26" s="106"/>
      <c r="M26" s="106"/>
      <c r="N26" s="106"/>
    </row>
    <row r="27" ht="22.5" customHeight="1">
      <c r="A27" s="107"/>
      <c r="B27" s="107"/>
      <c r="C27" s="107"/>
      <c r="D27" s="107"/>
      <c r="E27" s="96"/>
      <c r="F27" s="97"/>
      <c r="G27" s="98"/>
      <c r="H27" s="99"/>
      <c r="I27" s="100"/>
      <c r="J27" s="63"/>
      <c r="K27" s="107"/>
      <c r="L27" s="107"/>
      <c r="M27" s="107"/>
      <c r="N27" s="107"/>
    </row>
    <row r="28" ht="22.5" customHeight="1">
      <c r="A28" s="106"/>
      <c r="B28" s="106"/>
      <c r="C28" s="106"/>
      <c r="D28" s="106"/>
      <c r="E28" s="55"/>
      <c r="F28" s="77"/>
      <c r="G28" s="78"/>
      <c r="H28" s="61"/>
      <c r="I28" s="62"/>
      <c r="J28" s="63"/>
      <c r="K28" s="106"/>
      <c r="L28" s="106"/>
      <c r="M28" s="106"/>
      <c r="N28" s="106"/>
    </row>
    <row r="29" ht="22.5" customHeight="1">
      <c r="A29" s="107"/>
      <c r="B29" s="107"/>
      <c r="C29" s="107"/>
      <c r="D29" s="107"/>
      <c r="E29" s="55"/>
      <c r="F29" s="77"/>
      <c r="G29" s="78"/>
      <c r="H29" s="61"/>
      <c r="I29" s="62"/>
      <c r="J29" s="63"/>
      <c r="K29" s="107"/>
      <c r="L29" s="107"/>
      <c r="M29" s="107"/>
      <c r="N29" s="107"/>
    </row>
    <row r="30" ht="22.5" customHeight="1">
      <c r="A30" s="106"/>
      <c r="B30" s="106"/>
      <c r="C30" s="106"/>
      <c r="D30" s="106"/>
      <c r="E30" s="55"/>
      <c r="F30" s="77"/>
      <c r="G30" s="78"/>
      <c r="H30" s="61"/>
      <c r="I30" s="62"/>
      <c r="J30" s="63"/>
      <c r="K30" s="106"/>
      <c r="L30" s="106"/>
      <c r="M30" s="106"/>
      <c r="N30" s="106"/>
    </row>
    <row r="31" ht="22.5" customHeight="1">
      <c r="A31" s="107"/>
      <c r="B31" s="107"/>
      <c r="C31" s="107"/>
      <c r="D31" s="107"/>
      <c r="E31" s="55"/>
      <c r="F31" s="77"/>
      <c r="G31" s="78"/>
      <c r="H31" s="61"/>
      <c r="I31" s="62"/>
      <c r="J31" s="63"/>
      <c r="K31" s="107"/>
      <c r="L31" s="107"/>
      <c r="M31" s="107"/>
      <c r="N31" s="107"/>
    </row>
    <row r="32" ht="22.5" customHeight="1">
      <c r="A32" s="106"/>
      <c r="B32" s="106"/>
      <c r="C32" s="106"/>
      <c r="D32" s="106"/>
      <c r="E32" s="55"/>
      <c r="F32" s="77"/>
      <c r="G32" s="78"/>
      <c r="H32" s="61"/>
      <c r="I32" s="62"/>
      <c r="J32" s="63"/>
      <c r="K32" s="106"/>
      <c r="L32" s="106"/>
      <c r="M32" s="106"/>
      <c r="N32" s="106"/>
    </row>
    <row r="33" ht="22.5" customHeight="1">
      <c r="A33" s="107"/>
      <c r="B33" s="107"/>
      <c r="C33" s="107"/>
      <c r="D33" s="107"/>
      <c r="E33" s="55"/>
      <c r="F33" s="77"/>
      <c r="G33" s="78"/>
      <c r="H33" s="61"/>
      <c r="I33" s="62"/>
      <c r="J33" s="63"/>
      <c r="K33" s="107"/>
      <c r="L33" s="107"/>
      <c r="M33" s="107"/>
      <c r="N33" s="107"/>
    </row>
    <row r="34" ht="22.5" customHeight="1">
      <c r="A34" s="106"/>
      <c r="B34" s="106"/>
      <c r="C34" s="106"/>
      <c r="D34" s="106"/>
      <c r="E34" s="55"/>
      <c r="F34" s="77"/>
      <c r="G34" s="78"/>
      <c r="H34" s="61"/>
      <c r="I34" s="62"/>
      <c r="J34" s="63"/>
      <c r="K34" s="106"/>
      <c r="L34" s="106"/>
      <c r="M34" s="106"/>
      <c r="N34" s="106"/>
    </row>
    <row r="35" ht="22.5" customHeight="1">
      <c r="A35" s="107"/>
      <c r="B35" s="107"/>
      <c r="C35" s="107"/>
      <c r="D35" s="107"/>
      <c r="E35" s="55"/>
      <c r="F35" s="77"/>
      <c r="G35" s="78"/>
      <c r="H35" s="61"/>
      <c r="I35" s="62"/>
      <c r="J35" s="63"/>
      <c r="K35" s="107"/>
      <c r="L35" s="107"/>
      <c r="M35" s="107"/>
      <c r="N35" s="107"/>
    </row>
    <row r="36" ht="22.5" customHeight="1">
      <c r="A36" s="106"/>
      <c r="B36" s="106"/>
      <c r="C36" s="106"/>
      <c r="D36" s="106"/>
      <c r="E36" s="55"/>
      <c r="F36" s="77"/>
      <c r="G36" s="78"/>
      <c r="H36" s="61"/>
      <c r="I36" s="62"/>
      <c r="J36" s="63"/>
      <c r="K36" s="106"/>
      <c r="L36" s="106"/>
      <c r="M36" s="106"/>
      <c r="N36" s="106"/>
    </row>
    <row r="37" ht="22.5" customHeight="1">
      <c r="A37" s="107"/>
      <c r="B37" s="107"/>
      <c r="C37" s="107"/>
      <c r="D37" s="107"/>
      <c r="E37" s="55"/>
      <c r="F37" s="77"/>
      <c r="G37" s="78"/>
      <c r="H37" s="61"/>
      <c r="I37" s="62"/>
      <c r="J37" s="63"/>
      <c r="K37" s="107"/>
      <c r="L37" s="107"/>
      <c r="M37" s="107"/>
      <c r="N37" s="107"/>
    </row>
    <row r="38" ht="22.5" customHeight="1">
      <c r="A38" s="106"/>
      <c r="B38" s="106"/>
      <c r="C38" s="106"/>
      <c r="D38" s="106"/>
      <c r="E38" s="55"/>
      <c r="F38" s="77"/>
      <c r="G38" s="78"/>
      <c r="H38" s="61"/>
      <c r="I38" s="62"/>
      <c r="J38" s="63"/>
      <c r="K38" s="106"/>
      <c r="L38" s="106"/>
      <c r="M38" s="106"/>
      <c r="N38" s="106"/>
    </row>
    <row r="39" ht="22.5" customHeight="1">
      <c r="A39" s="107"/>
      <c r="B39" s="107"/>
      <c r="C39" s="107"/>
      <c r="D39" s="107"/>
      <c r="E39" s="55"/>
      <c r="F39" s="77"/>
      <c r="G39" s="78"/>
      <c r="H39" s="61"/>
      <c r="I39" s="62"/>
      <c r="J39" s="63"/>
      <c r="K39" s="107"/>
      <c r="L39" s="107"/>
      <c r="M39" s="107"/>
      <c r="N39" s="107"/>
    </row>
    <row r="40" ht="22.5" customHeight="1">
      <c r="A40" s="106"/>
      <c r="B40" s="106"/>
      <c r="C40" s="106"/>
      <c r="D40" s="106"/>
      <c r="E40" s="55"/>
      <c r="F40" s="77"/>
      <c r="G40" s="78"/>
      <c r="H40" s="61"/>
      <c r="I40" s="62"/>
      <c r="J40" s="63"/>
      <c r="K40" s="106"/>
      <c r="L40" s="106"/>
      <c r="M40" s="106"/>
      <c r="N40" s="106"/>
    </row>
    <row r="41" ht="22.5" customHeight="1">
      <c r="A41" s="107"/>
      <c r="B41" s="107"/>
      <c r="C41" s="107"/>
      <c r="D41" s="107"/>
      <c r="E41" s="55"/>
      <c r="F41" s="77"/>
      <c r="G41" s="78"/>
      <c r="H41" s="61"/>
      <c r="I41" s="62"/>
      <c r="J41" s="63"/>
      <c r="K41" s="107"/>
      <c r="L41" s="107"/>
      <c r="M41" s="107"/>
      <c r="N41" s="107"/>
    </row>
    <row r="42" ht="22.5" customHeight="1">
      <c r="A42" s="106"/>
      <c r="B42" s="106"/>
      <c r="C42" s="106"/>
      <c r="D42" s="106"/>
      <c r="E42" s="55"/>
      <c r="F42" s="77"/>
      <c r="G42" s="78"/>
      <c r="H42" s="61"/>
      <c r="I42" s="62"/>
      <c r="J42" s="63"/>
      <c r="K42" s="106"/>
      <c r="L42" s="106"/>
      <c r="M42" s="106"/>
      <c r="N42" s="106"/>
    </row>
    <row r="43" ht="22.5" customHeight="1">
      <c r="A43" s="107"/>
      <c r="B43" s="107"/>
      <c r="C43" s="107"/>
      <c r="D43" s="107"/>
      <c r="E43" s="55"/>
      <c r="F43" s="110"/>
      <c r="G43" s="110"/>
      <c r="H43" s="110"/>
      <c r="I43" s="110"/>
      <c r="J43" s="63"/>
      <c r="K43" s="107"/>
      <c r="L43" s="107"/>
      <c r="M43" s="107"/>
      <c r="N43" s="107"/>
    </row>
    <row r="44" ht="22.5" customHeight="1">
      <c r="A44" s="106"/>
      <c r="B44" s="106"/>
      <c r="C44" s="106"/>
      <c r="D44" s="106"/>
      <c r="E44" s="55"/>
      <c r="F44" s="77"/>
      <c r="G44" s="78"/>
      <c r="H44" s="61"/>
      <c r="I44" s="62"/>
      <c r="J44" s="63"/>
      <c r="K44" s="106"/>
      <c r="L44" s="106"/>
      <c r="M44" s="106"/>
      <c r="N44" s="106"/>
    </row>
    <row r="45" ht="22.5" customHeight="1">
      <c r="A45" s="107"/>
      <c r="B45" s="107"/>
      <c r="C45" s="107"/>
      <c r="D45" s="107"/>
      <c r="E45" s="55"/>
      <c r="F45" s="77"/>
      <c r="G45" s="78"/>
      <c r="H45" s="61"/>
      <c r="I45" s="62"/>
      <c r="J45" s="63"/>
      <c r="K45" s="107"/>
      <c r="L45" s="107"/>
      <c r="M45" s="107"/>
      <c r="N45" s="107"/>
    </row>
    <row r="46" ht="22.5" customHeight="1">
      <c r="A46" s="106"/>
      <c r="B46" s="106"/>
      <c r="C46" s="106"/>
      <c r="D46" s="106"/>
      <c r="E46" s="55"/>
      <c r="F46" s="77"/>
      <c r="G46" s="78"/>
      <c r="H46" s="61"/>
      <c r="I46" s="62"/>
      <c r="J46" s="63"/>
      <c r="K46" s="106"/>
      <c r="L46" s="106"/>
      <c r="M46" s="106"/>
      <c r="N46" s="106"/>
    </row>
    <row r="47" ht="22.5" customHeight="1">
      <c r="A47" s="107"/>
      <c r="B47" s="107"/>
      <c r="C47" s="107"/>
      <c r="D47" s="107"/>
      <c r="E47" s="55"/>
      <c r="F47" s="77"/>
      <c r="G47" s="78"/>
      <c r="H47" s="61"/>
      <c r="I47" s="62"/>
      <c r="J47" s="63"/>
      <c r="K47" s="107"/>
      <c r="L47" s="107"/>
      <c r="M47" s="107"/>
      <c r="N47" s="107"/>
    </row>
    <row r="48" ht="22.5" customHeight="1">
      <c r="A48" s="106"/>
      <c r="B48" s="106"/>
      <c r="C48" s="106"/>
      <c r="D48" s="106"/>
      <c r="E48" s="55"/>
      <c r="F48" s="77"/>
      <c r="G48" s="78"/>
      <c r="H48" s="61"/>
      <c r="I48" s="62"/>
      <c r="J48" s="63"/>
      <c r="K48" s="106"/>
      <c r="L48" s="106"/>
      <c r="M48" s="106"/>
      <c r="N48" s="106"/>
    </row>
    <row r="49" ht="22.5" customHeight="1">
      <c r="A49" s="107"/>
      <c r="B49" s="107"/>
      <c r="C49" s="107"/>
      <c r="D49" s="107"/>
      <c r="E49" s="55"/>
      <c r="F49" s="77"/>
      <c r="G49" s="78"/>
      <c r="H49" s="61"/>
      <c r="I49" s="62"/>
      <c r="J49" s="63"/>
      <c r="K49" s="107"/>
      <c r="L49" s="107"/>
      <c r="M49" s="107"/>
      <c r="N49" s="107"/>
    </row>
    <row r="50" ht="22.5" customHeight="1">
      <c r="A50" s="106"/>
      <c r="B50" s="106"/>
      <c r="C50" s="106"/>
      <c r="D50" s="106"/>
      <c r="E50" s="55"/>
      <c r="F50" s="77"/>
      <c r="G50" s="78"/>
      <c r="H50" s="61"/>
      <c r="I50" s="62"/>
      <c r="J50" s="63"/>
      <c r="K50" s="106"/>
      <c r="L50" s="106"/>
      <c r="M50" s="106"/>
      <c r="N50" s="106"/>
    </row>
    <row r="51" ht="22.5" customHeight="1">
      <c r="A51" s="107"/>
      <c r="B51" s="107"/>
      <c r="C51" s="107"/>
      <c r="D51" s="107"/>
      <c r="E51" s="55"/>
      <c r="F51" s="77"/>
      <c r="G51" s="78"/>
      <c r="H51" s="61"/>
      <c r="I51" s="62"/>
      <c r="J51" s="63"/>
      <c r="K51" s="107"/>
      <c r="L51" s="107"/>
      <c r="M51" s="107"/>
      <c r="N51" s="107"/>
    </row>
    <row r="52" ht="22.5" customHeight="1">
      <c r="A52" s="106"/>
      <c r="B52" s="106"/>
      <c r="C52" s="106"/>
      <c r="D52" s="106"/>
      <c r="E52" s="55"/>
      <c r="F52" s="77"/>
      <c r="G52" s="78"/>
      <c r="H52" s="61"/>
      <c r="I52" s="62"/>
      <c r="J52" s="63"/>
      <c r="K52" s="106"/>
      <c r="L52" s="106"/>
      <c r="M52" s="106"/>
      <c r="N52" s="106"/>
    </row>
    <row r="53" ht="22.5" customHeight="1">
      <c r="A53" s="107"/>
      <c r="B53" s="107"/>
      <c r="C53" s="107"/>
      <c r="D53" s="107"/>
      <c r="E53" s="55"/>
      <c r="F53" s="77"/>
      <c r="G53" s="78"/>
      <c r="H53" s="61"/>
      <c r="I53" s="62"/>
      <c r="J53" s="63"/>
      <c r="K53" s="107"/>
      <c r="L53" s="107"/>
      <c r="M53" s="107"/>
      <c r="N53" s="107"/>
    </row>
    <row r="54" ht="22.5" customHeight="1">
      <c r="A54" s="106"/>
      <c r="B54" s="106"/>
      <c r="C54" s="106"/>
      <c r="D54" s="106"/>
      <c r="E54" s="55"/>
      <c r="F54" s="77"/>
      <c r="G54" s="78"/>
      <c r="H54" s="61"/>
      <c r="I54" s="62"/>
      <c r="J54" s="63"/>
      <c r="K54" s="106"/>
      <c r="L54" s="106"/>
      <c r="M54" s="106"/>
      <c r="N54" s="106"/>
    </row>
    <row r="55" ht="22.5" customHeight="1">
      <c r="A55" s="107"/>
      <c r="B55" s="107"/>
      <c r="C55" s="107"/>
      <c r="D55" s="107"/>
      <c r="E55" s="96"/>
      <c r="F55" s="97"/>
      <c r="G55" s="98"/>
      <c r="H55" s="99"/>
      <c r="I55" s="100"/>
      <c r="J55" s="63"/>
      <c r="K55" s="107"/>
      <c r="L55" s="107"/>
      <c r="M55" s="107"/>
      <c r="N55" s="107"/>
      <c r="O55" s="111"/>
    </row>
    <row r="56" ht="22.5" customHeight="1">
      <c r="A56" s="106"/>
      <c r="B56" s="106"/>
      <c r="C56" s="106"/>
      <c r="D56" s="106"/>
      <c r="E56" s="96"/>
      <c r="F56" s="97"/>
      <c r="G56" s="98"/>
      <c r="H56" s="99"/>
      <c r="I56" s="100"/>
      <c r="J56" s="63"/>
      <c r="K56" s="106"/>
      <c r="L56" s="106"/>
      <c r="M56" s="106"/>
      <c r="N56" s="106"/>
    </row>
    <row r="57" ht="22.5" customHeight="1">
      <c r="A57" s="107"/>
      <c r="B57" s="107"/>
      <c r="C57" s="107"/>
      <c r="D57" s="107"/>
      <c r="E57" s="96"/>
      <c r="F57" s="97"/>
      <c r="G57" s="98"/>
      <c r="H57" s="99"/>
      <c r="I57" s="100"/>
      <c r="J57" s="63"/>
      <c r="K57" s="107"/>
      <c r="L57" s="107"/>
      <c r="M57" s="107"/>
      <c r="N57" s="107"/>
    </row>
    <row r="58" ht="22.5" customHeight="1">
      <c r="A58" s="106"/>
      <c r="B58" s="106"/>
      <c r="C58" s="106"/>
      <c r="D58" s="106"/>
      <c r="E58" s="96"/>
      <c r="F58" s="97"/>
      <c r="G58" s="98"/>
      <c r="H58" s="99"/>
      <c r="I58" s="100"/>
      <c r="J58" s="63"/>
      <c r="K58" s="106"/>
      <c r="L58" s="106"/>
      <c r="M58" s="106"/>
      <c r="N58" s="106"/>
    </row>
    <row r="59" ht="22.5" customHeight="1">
      <c r="A59" s="107"/>
      <c r="B59" s="107"/>
      <c r="C59" s="107"/>
      <c r="D59" s="107"/>
      <c r="E59" s="112"/>
      <c r="F59" s="97"/>
      <c r="G59" s="113"/>
      <c r="H59" s="114"/>
      <c r="I59" s="100"/>
      <c r="J59" s="63"/>
      <c r="K59" s="107"/>
      <c r="L59" s="107"/>
      <c r="M59" s="107"/>
      <c r="N59" s="107"/>
    </row>
    <row r="60" ht="22.5" customHeight="1">
      <c r="A60" s="106"/>
      <c r="B60" s="106"/>
      <c r="C60" s="106"/>
      <c r="D60" s="106"/>
      <c r="E60" s="115"/>
      <c r="F60" s="116"/>
      <c r="G60" s="117"/>
      <c r="H60" s="118"/>
      <c r="I60" s="119"/>
      <c r="K60" s="106"/>
      <c r="L60" s="106"/>
      <c r="M60" s="106"/>
      <c r="N60" s="106"/>
    </row>
    <row r="61" ht="22.5" customHeight="1">
      <c r="A61" s="107"/>
      <c r="B61" s="107"/>
      <c r="C61" s="107"/>
      <c r="D61" s="107"/>
      <c r="E61" s="115"/>
      <c r="F61" s="116"/>
      <c r="G61" s="117"/>
      <c r="H61" s="118"/>
      <c r="I61" s="119"/>
      <c r="K61" s="107"/>
      <c r="L61" s="107"/>
      <c r="M61" s="107"/>
      <c r="N61" s="107"/>
    </row>
    <row r="62" ht="22.5" customHeight="1">
      <c r="A62" s="106"/>
      <c r="B62" s="106"/>
      <c r="C62" s="106"/>
      <c r="D62" s="106"/>
      <c r="E62" s="115"/>
      <c r="F62" s="116"/>
      <c r="G62" s="117"/>
      <c r="H62" s="118"/>
      <c r="I62" s="119"/>
      <c r="K62" s="106"/>
      <c r="L62" s="106"/>
      <c r="M62" s="106"/>
      <c r="N62" s="106"/>
    </row>
    <row r="63" ht="22.5" customHeight="1">
      <c r="A63" s="107"/>
      <c r="B63" s="107"/>
      <c r="C63" s="107"/>
      <c r="D63" s="107"/>
      <c r="E63" s="115"/>
      <c r="F63" s="116"/>
      <c r="G63" s="117"/>
      <c r="H63" s="118"/>
      <c r="I63" s="119"/>
      <c r="K63" s="107"/>
      <c r="L63" s="107"/>
      <c r="M63" s="107"/>
      <c r="N63" s="107"/>
    </row>
    <row r="64" ht="22.5" customHeight="1">
      <c r="A64" s="106"/>
      <c r="B64" s="106"/>
      <c r="C64" s="106"/>
      <c r="D64" s="106"/>
      <c r="E64" s="115"/>
      <c r="F64" s="116"/>
      <c r="G64" s="117"/>
      <c r="H64" s="118"/>
      <c r="I64" s="119"/>
      <c r="K64" s="106"/>
      <c r="L64" s="106"/>
      <c r="M64" s="106"/>
      <c r="N64" s="106"/>
    </row>
    <row r="65" ht="22.5" customHeight="1">
      <c r="A65" s="107"/>
      <c r="B65" s="107"/>
      <c r="C65" s="107"/>
      <c r="D65" s="107"/>
      <c r="E65" s="115"/>
      <c r="F65" s="116"/>
      <c r="G65" s="117"/>
      <c r="H65" s="118"/>
      <c r="I65" s="119"/>
      <c r="K65" s="107"/>
      <c r="L65" s="107"/>
      <c r="M65" s="107"/>
      <c r="N65" s="107"/>
    </row>
    <row r="66" ht="22.5" customHeight="1">
      <c r="A66" s="106"/>
      <c r="B66" s="106"/>
      <c r="C66" s="106"/>
      <c r="D66" s="106"/>
      <c r="E66" s="115"/>
      <c r="F66" s="116"/>
      <c r="G66" s="117"/>
      <c r="H66" s="118"/>
      <c r="I66" s="119"/>
      <c r="K66" s="106"/>
      <c r="L66" s="106"/>
      <c r="M66" s="106"/>
      <c r="N66" s="106"/>
    </row>
    <row r="67" ht="22.5" customHeight="1">
      <c r="A67" s="107"/>
      <c r="B67" s="107"/>
      <c r="C67" s="107"/>
      <c r="D67" s="107"/>
      <c r="E67" s="115"/>
      <c r="F67" s="116"/>
      <c r="G67" s="117"/>
      <c r="H67" s="118"/>
      <c r="I67" s="119"/>
      <c r="K67" s="107"/>
      <c r="L67" s="107"/>
      <c r="M67" s="107"/>
      <c r="N67" s="107"/>
    </row>
    <row r="68" ht="22.5" customHeight="1">
      <c r="A68" s="106"/>
      <c r="B68" s="106"/>
      <c r="C68" s="106"/>
      <c r="D68" s="106"/>
      <c r="E68" s="115"/>
      <c r="F68" s="116"/>
      <c r="G68" s="117"/>
      <c r="H68" s="118"/>
      <c r="I68" s="119"/>
      <c r="K68" s="106"/>
      <c r="L68" s="106"/>
      <c r="M68" s="106"/>
      <c r="N68" s="106"/>
    </row>
    <row r="69" ht="22.5" customHeight="1">
      <c r="A69" s="107"/>
      <c r="B69" s="107"/>
      <c r="C69" s="107"/>
      <c r="D69" s="107"/>
      <c r="E69" s="115"/>
      <c r="F69" s="116"/>
      <c r="G69" s="117"/>
      <c r="H69" s="118"/>
      <c r="I69" s="119"/>
      <c r="K69" s="107"/>
      <c r="L69" s="107"/>
      <c r="M69" s="107"/>
      <c r="N69" s="107"/>
    </row>
    <row r="70" ht="22.5" customHeight="1">
      <c r="A70" s="106"/>
      <c r="B70" s="106"/>
      <c r="C70" s="106"/>
      <c r="D70" s="106"/>
      <c r="E70" s="115"/>
      <c r="F70" s="116"/>
      <c r="G70" s="117"/>
      <c r="H70" s="118"/>
      <c r="I70" s="119"/>
      <c r="K70" s="106"/>
      <c r="L70" s="106"/>
      <c r="M70" s="106"/>
      <c r="N70" s="106"/>
    </row>
    <row r="71" ht="22.5" customHeight="1">
      <c r="A71" s="107"/>
      <c r="B71" s="107"/>
      <c r="C71" s="107"/>
      <c r="D71" s="107"/>
      <c r="E71" s="115"/>
      <c r="F71" s="116"/>
      <c r="G71" s="117"/>
      <c r="H71" s="118"/>
      <c r="I71" s="119"/>
      <c r="K71" s="107"/>
      <c r="L71" s="107"/>
      <c r="M71" s="107"/>
      <c r="N71" s="107"/>
    </row>
    <row r="72" ht="22.5" customHeight="1">
      <c r="A72" s="106"/>
      <c r="B72" s="106"/>
      <c r="C72" s="106"/>
      <c r="D72" s="106"/>
      <c r="E72" s="115"/>
      <c r="F72" s="116"/>
      <c r="G72" s="117"/>
      <c r="H72" s="118"/>
      <c r="I72" s="119"/>
      <c r="K72" s="106"/>
      <c r="L72" s="106"/>
      <c r="M72" s="106"/>
      <c r="N72" s="106"/>
    </row>
    <row r="73" ht="22.5" customHeight="1">
      <c r="A73" s="107"/>
      <c r="B73" s="107"/>
      <c r="C73" s="107"/>
      <c r="D73" s="107"/>
      <c r="E73" s="115"/>
      <c r="F73" s="116"/>
      <c r="G73" s="117"/>
      <c r="H73" s="118"/>
      <c r="I73" s="119"/>
      <c r="K73" s="107"/>
      <c r="L73" s="107"/>
      <c r="M73" s="107"/>
      <c r="N73" s="107"/>
    </row>
    <row r="74" ht="22.5" customHeight="1">
      <c r="A74" s="106"/>
      <c r="B74" s="106"/>
      <c r="C74" s="106"/>
      <c r="D74" s="106"/>
      <c r="E74" s="115"/>
      <c r="F74" s="116"/>
      <c r="G74" s="117"/>
      <c r="H74" s="118"/>
      <c r="I74" s="119"/>
      <c r="K74" s="106"/>
      <c r="L74" s="106"/>
      <c r="M74" s="106"/>
      <c r="N74" s="106"/>
    </row>
    <row r="75" ht="22.5" customHeight="1">
      <c r="A75" s="107"/>
      <c r="B75" s="107"/>
      <c r="C75" s="107"/>
      <c r="D75" s="107"/>
      <c r="E75" s="115"/>
      <c r="F75" s="116"/>
      <c r="G75" s="117"/>
      <c r="H75" s="118"/>
      <c r="I75" s="119"/>
      <c r="K75" s="107"/>
      <c r="L75" s="107"/>
      <c r="M75" s="107"/>
      <c r="N75" s="107"/>
    </row>
    <row r="76" ht="22.5" customHeight="1">
      <c r="A76" s="106"/>
      <c r="B76" s="106"/>
      <c r="C76" s="106"/>
      <c r="D76" s="106"/>
      <c r="E76" s="115"/>
      <c r="F76" s="116"/>
      <c r="G76" s="117"/>
      <c r="H76" s="118"/>
      <c r="I76" s="119"/>
      <c r="K76" s="106"/>
      <c r="L76" s="106"/>
      <c r="M76" s="106"/>
      <c r="N76" s="106"/>
    </row>
    <row r="77" ht="22.5" customHeight="1">
      <c r="A77" s="107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</row>
    <row r="78" ht="22.5" customHeight="1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</row>
    <row r="79" ht="22.5" customHeight="1">
      <c r="A79" s="107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</row>
    <row r="80" ht="22.5" customHeight="1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</row>
    <row r="81" ht="22.5" customHeight="1">
      <c r="A81" s="107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</row>
    <row r="82" ht="22.5" customHeight="1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</row>
    <row r="83" ht="22.5" customHeight="1">
      <c r="A83" s="107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</row>
    <row r="84" ht="22.5" customHeight="1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</row>
    <row r="85" ht="22.5" customHeight="1">
      <c r="A85" s="107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</row>
    <row r="86" ht="22.5" customHeight="1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</row>
    <row r="87" ht="22.5" customHeight="1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</row>
    <row r="88" ht="22.5" customHeight="1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</row>
    <row r="89" ht="22.5" customHeight="1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</row>
    <row r="90" ht="22.5" customHeight="1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</row>
    <row r="91" ht="22.5" customHeight="1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</row>
    <row r="92" ht="22.5" customHeight="1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</row>
    <row r="93" ht="22.5" customHeight="1">
      <c r="A93" s="107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</row>
    <row r="94" ht="22.5" customHeight="1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</row>
    <row r="95" ht="22.5" customHeight="1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</row>
    <row r="96" ht="22.5" customHeight="1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</row>
    <row r="97" ht="22.5" customHeight="1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</row>
    <row r="98" ht="22.5" customHeight="1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</row>
    <row r="99" ht="22.5" customHeight="1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</row>
    <row r="100" ht="22.5" customHeight="1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</row>
    <row r="101" ht="22.5" customHeight="1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</row>
    <row r="102" ht="22.5" customHeight="1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</row>
    <row r="103" ht="22.5" customHeight="1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</row>
    <row r="104" ht="22.5" customHeight="1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</row>
    <row r="105" ht="22.5" customHeight="1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</row>
    <row r="106" ht="22.5" customHeight="1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</row>
    <row r="107" ht="22.5" customHeight="1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6">
    <mergeCell ref="B21:C21"/>
    <mergeCell ref="B22:C22"/>
    <mergeCell ref="B23:C23"/>
    <mergeCell ref="B24:C24"/>
    <mergeCell ref="B14:C14"/>
    <mergeCell ref="B15:C15"/>
    <mergeCell ref="B16:C16"/>
    <mergeCell ref="B17:C17"/>
    <mergeCell ref="B18:C18"/>
    <mergeCell ref="B19:C19"/>
    <mergeCell ref="B20:C20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E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72:J72"/>
    <mergeCell ref="I73:J73"/>
    <mergeCell ref="I74:J74"/>
    <mergeCell ref="I75:J75"/>
    <mergeCell ref="I76:J76"/>
    <mergeCell ref="I65:J65"/>
    <mergeCell ref="I66:J66"/>
    <mergeCell ref="I67:J67"/>
    <mergeCell ref="I68:J68"/>
    <mergeCell ref="I69:J69"/>
    <mergeCell ref="I70:J70"/>
    <mergeCell ref="I71:J71"/>
    <mergeCell ref="A1:N1"/>
    <mergeCell ref="A2:N2"/>
    <mergeCell ref="A3:B3"/>
    <mergeCell ref="C3:D3"/>
    <mergeCell ref="E3:F3"/>
    <mergeCell ref="G3:H3"/>
    <mergeCell ref="A4:B4"/>
    <mergeCell ref="G4:H4"/>
    <mergeCell ref="C4:D4"/>
    <mergeCell ref="E4:F4"/>
    <mergeCell ref="A5:D5"/>
    <mergeCell ref="I5:J5"/>
    <mergeCell ref="K5:N5"/>
    <mergeCell ref="B6:C6"/>
    <mergeCell ref="I7:J7"/>
    <mergeCell ref="I8:J8"/>
    <mergeCell ref="I9:J9"/>
    <mergeCell ref="L10:N10"/>
    <mergeCell ref="I11:J11"/>
    <mergeCell ref="L11:N11"/>
    <mergeCell ref="I12:J12"/>
    <mergeCell ref="L12:N12"/>
    <mergeCell ref="B7:C7"/>
    <mergeCell ref="B8:C8"/>
    <mergeCell ref="B9:C9"/>
    <mergeCell ref="B10:C10"/>
    <mergeCell ref="B11:C11"/>
    <mergeCell ref="B12:C12"/>
    <mergeCell ref="A13:D13"/>
    <mergeCell ref="L17:N17"/>
    <mergeCell ref="K18:N18"/>
    <mergeCell ref="L19:M19"/>
    <mergeCell ref="L20:M20"/>
    <mergeCell ref="L21:M21"/>
    <mergeCell ref="L22:M22"/>
    <mergeCell ref="L23:M23"/>
    <mergeCell ref="L24:M24"/>
    <mergeCell ref="I13:J13"/>
    <mergeCell ref="K13:N13"/>
    <mergeCell ref="I14:J14"/>
    <mergeCell ref="L14:N14"/>
    <mergeCell ref="I15:J15"/>
    <mergeCell ref="L15:N15"/>
    <mergeCell ref="L16:N16"/>
    <mergeCell ref="I16:J16"/>
    <mergeCell ref="I17:J17"/>
    <mergeCell ref="I18:J18"/>
    <mergeCell ref="I19:J19"/>
    <mergeCell ref="I20:J20"/>
    <mergeCell ref="I21:J21"/>
    <mergeCell ref="I22:J2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12.88"/>
    <col customWidth="1" min="3" max="4" width="5.75"/>
    <col customWidth="1" min="5" max="5" width="6.25"/>
    <col customWidth="1" min="6" max="6" width="9.38"/>
    <col customWidth="1" min="7" max="7" width="5.5"/>
    <col customWidth="1" min="8" max="10" width="30.13"/>
    <col customWidth="1" min="12" max="12" width="15.38"/>
    <col customWidth="1" hidden="1" min="13" max="14" width="12.63"/>
  </cols>
  <sheetData>
    <row r="1" ht="30.0" customHeight="1">
      <c r="A1" s="120" t="s">
        <v>1</v>
      </c>
      <c r="B1" s="120" t="s">
        <v>2</v>
      </c>
      <c r="C1" s="120" t="s">
        <v>3</v>
      </c>
      <c r="D1" s="121" t="s">
        <v>4</v>
      </c>
      <c r="E1" s="122" t="s">
        <v>69</v>
      </c>
      <c r="F1" s="123" t="s">
        <v>6</v>
      </c>
      <c r="G1" s="124" t="s">
        <v>7</v>
      </c>
      <c r="H1" s="120" t="s">
        <v>8</v>
      </c>
      <c r="I1" s="120" t="s">
        <v>9</v>
      </c>
      <c r="J1" s="120" t="s">
        <v>10</v>
      </c>
      <c r="K1" s="120" t="s">
        <v>70</v>
      </c>
      <c r="L1" s="120" t="s">
        <v>71</v>
      </c>
      <c r="M1" s="125" t="s">
        <v>15</v>
      </c>
      <c r="N1" s="126" t="s">
        <v>72</v>
      </c>
    </row>
    <row r="2" ht="30.0" customHeight="1">
      <c r="A2" s="127"/>
      <c r="B2" s="127"/>
      <c r="C2" s="127"/>
      <c r="D2" s="128"/>
      <c r="E2" s="129"/>
      <c r="F2" s="129"/>
      <c r="G2" s="129"/>
      <c r="H2" s="127"/>
      <c r="I2" s="127"/>
      <c r="J2" s="127"/>
      <c r="K2" s="127" t="str">
        <f>IF(M2="","",IFERROR(VLOOKUP(M2,SET!$A$2:$J$45,SET!$B$50+2,FALSE),""))</f>
        <v/>
      </c>
      <c r="L2" s="127"/>
      <c r="M2" s="127"/>
      <c r="N2" s="127"/>
    </row>
    <row r="3" ht="30.0" customHeight="1">
      <c r="A3" s="127"/>
      <c r="B3" s="127"/>
      <c r="C3" s="127"/>
      <c r="D3" s="128"/>
      <c r="E3" s="129"/>
      <c r="F3" s="129"/>
      <c r="G3" s="129"/>
      <c r="H3" s="127"/>
      <c r="I3" s="127"/>
      <c r="J3" s="127"/>
      <c r="K3" s="127" t="str">
        <f>IF(M3="","",IFERROR(VLOOKUP(M3,SET!$A$2:$J$45,SET!$B$50+2,FALSE),""))</f>
        <v/>
      </c>
      <c r="L3" s="127"/>
      <c r="M3" s="127"/>
      <c r="N3" s="127"/>
    </row>
    <row r="4" ht="30.0" customHeight="1">
      <c r="A4" s="127"/>
      <c r="B4" s="127"/>
      <c r="C4" s="127"/>
      <c r="D4" s="128"/>
      <c r="E4" s="129"/>
      <c r="F4" s="129"/>
      <c r="G4" s="129"/>
      <c r="H4" s="127"/>
      <c r="I4" s="127"/>
      <c r="J4" s="127"/>
      <c r="K4" s="127" t="str">
        <f>IF(M4="","",IFERROR(VLOOKUP(M4,SET!$A$2:$J$45,SET!$B$50+2,FALSE),""))</f>
        <v/>
      </c>
      <c r="L4" s="127"/>
      <c r="M4" s="127"/>
      <c r="N4" s="127"/>
    </row>
    <row r="5" ht="30.0" customHeight="1">
      <c r="A5" s="127"/>
      <c r="B5" s="127"/>
      <c r="C5" s="127"/>
      <c r="D5" s="128"/>
      <c r="E5" s="129"/>
      <c r="F5" s="129"/>
      <c r="G5" s="129"/>
      <c r="H5" s="127"/>
      <c r="I5" s="127"/>
      <c r="J5" s="127"/>
      <c r="K5" s="127" t="str">
        <f>IF(M5="","",IFERROR(VLOOKUP(M5,SET!$A$2:$J$45,SET!$B$50+2,FALSE),""))</f>
        <v/>
      </c>
      <c r="L5" s="127"/>
      <c r="M5" s="127"/>
      <c r="N5" s="127"/>
    </row>
    <row r="6" ht="30.0" customHeight="1">
      <c r="A6" s="127"/>
      <c r="B6" s="127"/>
      <c r="C6" s="127"/>
      <c r="D6" s="128"/>
      <c r="E6" s="129"/>
      <c r="F6" s="129"/>
      <c r="G6" s="129"/>
      <c r="H6" s="127"/>
      <c r="I6" s="127"/>
      <c r="J6" s="127"/>
      <c r="K6" s="127" t="str">
        <f>IF(M6="","",IFERROR(VLOOKUP(M6,SET!$A$2:$J$45,SET!$B$50+2,FALSE),""))</f>
        <v/>
      </c>
      <c r="L6" s="127"/>
      <c r="M6" s="127"/>
      <c r="N6" s="127"/>
    </row>
    <row r="7" ht="30.0" customHeight="1">
      <c r="A7" s="127"/>
      <c r="B7" s="127"/>
      <c r="C7" s="127"/>
      <c r="D7" s="128"/>
      <c r="E7" s="129"/>
      <c r="F7" s="129"/>
      <c r="G7" s="129"/>
      <c r="H7" s="127"/>
      <c r="I7" s="127"/>
      <c r="J7" s="127"/>
      <c r="K7" s="127" t="str">
        <f>IF(M7="","",IFERROR(VLOOKUP(M7,SET!$A$2:$J$45,SET!$B$50+2,FALSE),""))</f>
        <v/>
      </c>
      <c r="L7" s="127"/>
      <c r="M7" s="127"/>
      <c r="N7" s="127"/>
    </row>
    <row r="8" ht="30.0" customHeight="1">
      <c r="A8" s="127"/>
      <c r="B8" s="127"/>
      <c r="C8" s="127"/>
      <c r="D8" s="128"/>
      <c r="E8" s="129"/>
      <c r="F8" s="129"/>
      <c r="G8" s="129"/>
      <c r="H8" s="127"/>
      <c r="I8" s="127"/>
      <c r="J8" s="127"/>
      <c r="K8" s="127" t="str">
        <f>IF(M8="","",IFERROR(VLOOKUP(M8,SET!$A$2:$J$45,SET!$B$50+2,FALSE),""))</f>
        <v/>
      </c>
      <c r="L8" s="127"/>
      <c r="M8" s="127"/>
      <c r="N8" s="127"/>
    </row>
    <row r="9" ht="30.0" customHeight="1">
      <c r="A9" s="127"/>
      <c r="B9" s="127"/>
      <c r="C9" s="127"/>
      <c r="D9" s="128"/>
      <c r="E9" s="129"/>
      <c r="F9" s="129"/>
      <c r="G9" s="129"/>
      <c r="H9" s="127"/>
      <c r="I9" s="127"/>
      <c r="J9" s="127"/>
      <c r="K9" s="127" t="str">
        <f>IF(M9="","",IFERROR(VLOOKUP(M9,SET!$A$2:$J$45,SET!$B$50+2,FALSE),""))</f>
        <v/>
      </c>
      <c r="L9" s="127"/>
      <c r="M9" s="127"/>
      <c r="N9" s="127"/>
    </row>
    <row r="10" ht="30.0" customHeight="1">
      <c r="A10" s="127"/>
      <c r="B10" s="127"/>
      <c r="C10" s="127"/>
      <c r="D10" s="128"/>
      <c r="E10" s="129"/>
      <c r="F10" s="129"/>
      <c r="G10" s="129"/>
      <c r="H10" s="127"/>
      <c r="I10" s="127"/>
      <c r="J10" s="127"/>
      <c r="K10" s="127" t="str">
        <f>IF(M10="","",IFERROR(VLOOKUP(M10,SET!$A$2:$J$45,SET!$B$50+2,FALSE),""))</f>
        <v/>
      </c>
      <c r="L10" s="127"/>
      <c r="M10" s="127"/>
      <c r="N10" s="127"/>
    </row>
    <row r="11" ht="30.0" customHeight="1">
      <c r="A11" s="127"/>
      <c r="B11" s="127"/>
      <c r="C11" s="127"/>
      <c r="D11" s="128"/>
      <c r="E11" s="129"/>
      <c r="F11" s="129"/>
      <c r="G11" s="129"/>
      <c r="H11" s="127"/>
      <c r="I11" s="127"/>
      <c r="J11" s="127"/>
      <c r="K11" s="127" t="str">
        <f>IF(M11="","",IFERROR(VLOOKUP(M11,SET!$A$2:$J$45,SET!$B$50+2,FALSE),""))</f>
        <v/>
      </c>
      <c r="L11" s="127"/>
      <c r="M11" s="127"/>
      <c r="N11" s="127"/>
    </row>
    <row r="12" ht="30.0" customHeight="1">
      <c r="A12" s="127"/>
      <c r="B12" s="127"/>
      <c r="C12" s="127"/>
      <c r="D12" s="128"/>
      <c r="E12" s="129"/>
      <c r="F12" s="129"/>
      <c r="G12" s="129"/>
      <c r="H12" s="127"/>
      <c r="I12" s="127"/>
      <c r="J12" s="127"/>
      <c r="K12" s="127" t="str">
        <f>IF(M12="","",IFERROR(VLOOKUP(M12,SET!$A$2:$J$45,SET!$B$50+2,FALSE),""))</f>
        <v/>
      </c>
      <c r="L12" s="127"/>
      <c r="M12" s="127"/>
      <c r="N12" s="127"/>
    </row>
    <row r="13" ht="30.0" customHeight="1">
      <c r="A13" s="127"/>
      <c r="B13" s="127"/>
      <c r="C13" s="127"/>
      <c r="D13" s="128"/>
      <c r="E13" s="129"/>
      <c r="F13" s="129"/>
      <c r="G13" s="129"/>
      <c r="H13" s="127"/>
      <c r="I13" s="127"/>
      <c r="J13" s="127"/>
      <c r="K13" s="127" t="str">
        <f>IF(M13="","",IFERROR(VLOOKUP(M13,SET!$A$2:$J$45,SET!$B$50+2,FALSE),""))</f>
        <v/>
      </c>
      <c r="L13" s="127"/>
      <c r="M13" s="127"/>
      <c r="N13" s="127"/>
    </row>
    <row r="14" ht="30.0" customHeight="1">
      <c r="A14" s="127"/>
      <c r="B14" s="127"/>
      <c r="C14" s="127"/>
      <c r="D14" s="128"/>
      <c r="E14" s="129"/>
      <c r="F14" s="129"/>
      <c r="G14" s="129"/>
      <c r="H14" s="127"/>
      <c r="I14" s="127"/>
      <c r="J14" s="127"/>
      <c r="K14" s="127" t="str">
        <f>IF(M14="","",IFERROR(VLOOKUP(M14,SET!$A$2:$J$45,SET!$B$50+2,FALSE),""))</f>
        <v/>
      </c>
      <c r="L14" s="127"/>
      <c r="M14" s="127"/>
      <c r="N14" s="127"/>
    </row>
    <row r="15" ht="30.0" customHeight="1">
      <c r="A15" s="127"/>
      <c r="B15" s="127"/>
      <c r="C15" s="127"/>
      <c r="D15" s="128"/>
      <c r="E15" s="129"/>
      <c r="F15" s="129"/>
      <c r="G15" s="129"/>
      <c r="H15" s="127"/>
      <c r="I15" s="127"/>
      <c r="J15" s="127"/>
      <c r="K15" s="127" t="str">
        <f>IF(M15="","",IFERROR(VLOOKUP(M15,SET!$A$2:$J$45,SET!$B$50+2,FALSE),""))</f>
        <v/>
      </c>
      <c r="L15" s="127"/>
      <c r="M15" s="127"/>
      <c r="N15" s="127"/>
    </row>
    <row r="16" ht="30.0" customHeight="1">
      <c r="A16" s="127"/>
      <c r="B16" s="127"/>
      <c r="C16" s="127"/>
      <c r="D16" s="128"/>
      <c r="E16" s="129"/>
      <c r="F16" s="129"/>
      <c r="G16" s="129"/>
      <c r="H16" s="127"/>
      <c r="I16" s="127"/>
      <c r="J16" s="127"/>
      <c r="K16" s="127" t="str">
        <f>IF(M16="","",IFERROR(VLOOKUP(M16,SET!$A$2:$J$45,SET!$B$50+2,FALSE),""))</f>
        <v/>
      </c>
      <c r="L16" s="127"/>
      <c r="M16" s="127"/>
      <c r="N16" s="127"/>
    </row>
    <row r="17" ht="30.0" customHeight="1">
      <c r="A17" s="127"/>
      <c r="B17" s="127"/>
      <c r="C17" s="127"/>
      <c r="D17" s="128"/>
      <c r="E17" s="129"/>
      <c r="F17" s="129"/>
      <c r="G17" s="129"/>
      <c r="H17" s="127"/>
      <c r="I17" s="127"/>
      <c r="J17" s="127"/>
      <c r="K17" s="127" t="str">
        <f>IF(M17="","",IFERROR(VLOOKUP(M17,SET!$A$2:$J$45,SET!$B$50+2,FALSE),""))</f>
        <v/>
      </c>
      <c r="L17" s="127"/>
      <c r="M17" s="127"/>
      <c r="N17" s="127"/>
    </row>
    <row r="18" ht="30.0" customHeight="1">
      <c r="A18" s="127"/>
      <c r="B18" s="127"/>
      <c r="C18" s="127"/>
      <c r="D18" s="128"/>
      <c r="E18" s="129"/>
      <c r="F18" s="129"/>
      <c r="G18" s="129"/>
      <c r="H18" s="127"/>
      <c r="I18" s="127"/>
      <c r="J18" s="127"/>
      <c r="K18" s="127" t="str">
        <f>IF(M18="","",IFERROR(VLOOKUP(M18,SET!$A$2:$J$45,SET!$B$50+2,FALSE),""))</f>
        <v/>
      </c>
      <c r="L18" s="127"/>
      <c r="M18" s="127"/>
      <c r="N18" s="127"/>
    </row>
    <row r="19" ht="30.0" customHeight="1">
      <c r="A19" s="127"/>
      <c r="B19" s="127"/>
      <c r="C19" s="127"/>
      <c r="D19" s="128"/>
      <c r="E19" s="129"/>
      <c r="F19" s="129"/>
      <c r="G19" s="129"/>
      <c r="H19" s="127"/>
      <c r="I19" s="127"/>
      <c r="J19" s="127"/>
      <c r="K19" s="127" t="str">
        <f>IF(M19="","",IFERROR(VLOOKUP(M19,SET!$A$2:$J$45,SET!$B$50+2,FALSE),""))</f>
        <v/>
      </c>
      <c r="L19" s="127"/>
      <c r="M19" s="127"/>
      <c r="N19" s="127"/>
    </row>
    <row r="20" ht="30.0" customHeight="1">
      <c r="A20" s="127"/>
      <c r="B20" s="127"/>
      <c r="C20" s="127"/>
      <c r="D20" s="128"/>
      <c r="E20" s="129"/>
      <c r="F20" s="129"/>
      <c r="G20" s="129"/>
      <c r="H20" s="127"/>
      <c r="I20" s="127"/>
      <c r="J20" s="127"/>
      <c r="K20" s="127" t="str">
        <f>IF(M20="","",IFERROR(VLOOKUP(M20,SET!$A$2:$J$45,SET!$B$50+2,FALSE),""))</f>
        <v/>
      </c>
      <c r="L20" s="127"/>
      <c r="M20" s="127"/>
      <c r="N20" s="127"/>
    </row>
    <row r="21" ht="30.0" customHeight="1">
      <c r="A21" s="127"/>
      <c r="B21" s="127"/>
      <c r="C21" s="127"/>
      <c r="D21" s="128"/>
      <c r="E21" s="129"/>
      <c r="F21" s="129"/>
      <c r="G21" s="129"/>
      <c r="H21" s="127"/>
      <c r="I21" s="127"/>
      <c r="J21" s="127"/>
      <c r="K21" s="127" t="str">
        <f>IF(M21="","",IFERROR(VLOOKUP(M21,SET!$A$2:$J$45,SET!$B$50+2,FALSE),""))</f>
        <v/>
      </c>
      <c r="L21" s="127"/>
      <c r="M21" s="127"/>
      <c r="N21" s="127"/>
    </row>
    <row r="22" ht="30.0" customHeight="1">
      <c r="A22" s="127"/>
      <c r="B22" s="127"/>
      <c r="C22" s="127"/>
      <c r="D22" s="128"/>
      <c r="E22" s="129"/>
      <c r="F22" s="129"/>
      <c r="G22" s="129"/>
      <c r="H22" s="127"/>
      <c r="I22" s="127"/>
      <c r="J22" s="127"/>
      <c r="K22" s="127" t="str">
        <f>IF(M22="","",IFERROR(VLOOKUP(M22,SET!$A$2:$J$45,SET!$B$50+2,FALSE),""))</f>
        <v/>
      </c>
      <c r="L22" s="127"/>
      <c r="M22" s="127"/>
      <c r="N22" s="127"/>
    </row>
    <row r="23" ht="30.0" customHeight="1">
      <c r="A23" s="127"/>
      <c r="B23" s="127"/>
      <c r="C23" s="127"/>
      <c r="D23" s="128"/>
      <c r="E23" s="129"/>
      <c r="F23" s="129"/>
      <c r="G23" s="129"/>
      <c r="H23" s="127"/>
      <c r="I23" s="127"/>
      <c r="J23" s="127"/>
      <c r="K23" s="127" t="str">
        <f>IF(M23="","",IFERROR(VLOOKUP(M23,SET!$A$2:$J$45,SET!$B$50+2,FALSE),""))</f>
        <v/>
      </c>
      <c r="L23" s="127"/>
      <c r="M23" s="127"/>
      <c r="N23" s="127"/>
    </row>
    <row r="24" ht="30.0" customHeight="1">
      <c r="A24" s="127"/>
      <c r="B24" s="127"/>
      <c r="C24" s="127"/>
      <c r="D24" s="128"/>
      <c r="E24" s="129"/>
      <c r="F24" s="129"/>
      <c r="G24" s="129"/>
      <c r="H24" s="127"/>
      <c r="I24" s="127"/>
      <c r="J24" s="127"/>
      <c r="K24" s="127" t="str">
        <f>IF(M24="","",IFERROR(VLOOKUP(M24,SET!$A$2:$J$45,SET!$B$50+2,FALSE),""))</f>
        <v/>
      </c>
      <c r="L24" s="127"/>
      <c r="M24" s="127"/>
      <c r="N24" s="127"/>
    </row>
    <row r="25" ht="30.0" customHeight="1">
      <c r="A25" s="127"/>
      <c r="B25" s="127"/>
      <c r="C25" s="127"/>
      <c r="D25" s="128"/>
      <c r="E25" s="129"/>
      <c r="F25" s="129"/>
      <c r="G25" s="129"/>
      <c r="H25" s="127"/>
      <c r="I25" s="127"/>
      <c r="J25" s="127"/>
      <c r="K25" s="127" t="str">
        <f>IF(M25="","",IFERROR(VLOOKUP(M25,SET!$A$2:$J$45,SET!$B$50+2,FALSE),""))</f>
        <v/>
      </c>
      <c r="L25" s="127"/>
      <c r="M25" s="127"/>
      <c r="N25" s="127"/>
    </row>
    <row r="26" ht="30.0" customHeight="1">
      <c r="A26" s="127"/>
      <c r="B26" s="127"/>
      <c r="C26" s="127"/>
      <c r="D26" s="128"/>
      <c r="E26" s="129"/>
      <c r="F26" s="129"/>
      <c r="G26" s="129"/>
      <c r="H26" s="127"/>
      <c r="I26" s="127"/>
      <c r="J26" s="127"/>
      <c r="K26" s="127" t="str">
        <f>IF(M26="","",IFERROR(VLOOKUP(M26,SET!$A$2:$J$45,SET!$B$50+2,FALSE),""))</f>
        <v/>
      </c>
      <c r="L26" s="127"/>
      <c r="M26" s="127"/>
      <c r="N26" s="127"/>
    </row>
    <row r="27" ht="30.0" customHeight="1">
      <c r="A27" s="127"/>
      <c r="B27" s="127"/>
      <c r="C27" s="127"/>
      <c r="D27" s="128"/>
      <c r="E27" s="129"/>
      <c r="F27" s="129"/>
      <c r="G27" s="129"/>
      <c r="H27" s="127"/>
      <c r="I27" s="127"/>
      <c r="J27" s="127"/>
      <c r="K27" s="127" t="str">
        <f>IF(M27="","",IFERROR(VLOOKUP(M27,SET!$A$2:$J$45,SET!$B$50+2,FALSE),""))</f>
        <v/>
      </c>
      <c r="L27" s="127"/>
      <c r="M27" s="127"/>
      <c r="N27" s="127"/>
    </row>
    <row r="28" ht="30.0" customHeight="1">
      <c r="A28" s="127"/>
      <c r="B28" s="127"/>
      <c r="C28" s="127"/>
      <c r="D28" s="128"/>
      <c r="E28" s="129"/>
      <c r="F28" s="129"/>
      <c r="G28" s="129"/>
      <c r="H28" s="127"/>
      <c r="I28" s="127"/>
      <c r="J28" s="127"/>
      <c r="K28" s="127" t="str">
        <f>IF(M28="","",IFERROR(VLOOKUP(M28,SET!$A$2:$J$45,SET!$B$50+2,FALSE),""))</f>
        <v/>
      </c>
      <c r="L28" s="127"/>
      <c r="M28" s="127"/>
      <c r="N28" s="127"/>
    </row>
    <row r="29" ht="30.0" customHeight="1">
      <c r="A29" s="127"/>
      <c r="B29" s="127"/>
      <c r="C29" s="127"/>
      <c r="D29" s="128"/>
      <c r="E29" s="129"/>
      <c r="F29" s="129"/>
      <c r="G29" s="129"/>
      <c r="H29" s="127"/>
      <c r="I29" s="127"/>
      <c r="J29" s="127"/>
      <c r="K29" s="127" t="str">
        <f>IF(M29="","",IFERROR(VLOOKUP(M29,SET!$A$2:$J$45,SET!$B$50+2,FALSE),""))</f>
        <v/>
      </c>
      <c r="L29" s="127"/>
      <c r="M29" s="127"/>
      <c r="N29" s="127"/>
    </row>
    <row r="30" ht="30.0" customHeight="1">
      <c r="A30" s="127"/>
      <c r="B30" s="127"/>
      <c r="C30" s="127"/>
      <c r="D30" s="128"/>
      <c r="E30" s="129"/>
      <c r="F30" s="129"/>
      <c r="G30" s="129"/>
      <c r="H30" s="127"/>
      <c r="I30" s="127"/>
      <c r="J30" s="127"/>
      <c r="K30" s="127" t="str">
        <f>IF(M30="","",IFERROR(VLOOKUP(M30,SET!$A$2:$J$45,SET!$B$50+2,FALSE),""))</f>
        <v/>
      </c>
      <c r="L30" s="127"/>
      <c r="M30" s="127"/>
      <c r="N30" s="127"/>
    </row>
    <row r="31" ht="30.0" customHeight="1">
      <c r="A31" s="127"/>
      <c r="B31" s="127"/>
      <c r="C31" s="127"/>
      <c r="D31" s="128"/>
      <c r="E31" s="129"/>
      <c r="F31" s="129"/>
      <c r="G31" s="129"/>
      <c r="H31" s="127"/>
      <c r="I31" s="127"/>
      <c r="J31" s="127"/>
      <c r="K31" s="127" t="str">
        <f>IF(M31="","",IFERROR(VLOOKUP(M31,SET!$A$2:$J$45,SET!$B$50+2,FALSE),""))</f>
        <v/>
      </c>
      <c r="L31" s="127"/>
      <c r="M31" s="127"/>
      <c r="N31" s="127"/>
    </row>
    <row r="32" ht="30.0" customHeight="1">
      <c r="A32" s="127"/>
      <c r="B32" s="127"/>
      <c r="C32" s="127"/>
      <c r="D32" s="128"/>
      <c r="E32" s="129"/>
      <c r="F32" s="129"/>
      <c r="G32" s="129"/>
      <c r="H32" s="127"/>
      <c r="I32" s="127"/>
      <c r="J32" s="127"/>
      <c r="K32" s="127" t="str">
        <f>IF(M32="","",IFERROR(VLOOKUP(M32,SET!$A$2:$J$45,SET!$B$50+2,FALSE),""))</f>
        <v/>
      </c>
      <c r="L32" s="127"/>
      <c r="M32" s="127"/>
      <c r="N32" s="127"/>
    </row>
    <row r="33" ht="30.0" customHeight="1">
      <c r="A33" s="127"/>
      <c r="B33" s="127"/>
      <c r="C33" s="127"/>
      <c r="D33" s="128"/>
      <c r="E33" s="129"/>
      <c r="F33" s="129"/>
      <c r="G33" s="129"/>
      <c r="H33" s="127"/>
      <c r="I33" s="127"/>
      <c r="J33" s="127"/>
      <c r="K33" s="127" t="str">
        <f>IF(M33="","",IFERROR(VLOOKUP(M33,SET!$A$2:$J$45,SET!$B$50+2,FALSE),""))</f>
        <v/>
      </c>
      <c r="L33" s="127"/>
      <c r="M33" s="127"/>
      <c r="N33" s="127"/>
    </row>
    <row r="34" ht="30.0" customHeight="1">
      <c r="A34" s="127"/>
      <c r="B34" s="127"/>
      <c r="C34" s="127"/>
      <c r="D34" s="128"/>
      <c r="E34" s="129"/>
      <c r="F34" s="129"/>
      <c r="G34" s="129"/>
      <c r="H34" s="127"/>
      <c r="I34" s="127"/>
      <c r="J34" s="127"/>
      <c r="K34" s="127" t="str">
        <f>IF(M34="","",IFERROR(VLOOKUP(M34,SET!$A$2:$J$45,SET!$B$50+2,FALSE),""))</f>
        <v/>
      </c>
      <c r="L34" s="127"/>
      <c r="M34" s="127"/>
      <c r="N34" s="127"/>
    </row>
    <row r="35" ht="30.0" customHeight="1">
      <c r="A35" s="127"/>
      <c r="B35" s="127"/>
      <c r="C35" s="127"/>
      <c r="D35" s="128"/>
      <c r="E35" s="129"/>
      <c r="F35" s="129"/>
      <c r="G35" s="129"/>
      <c r="H35" s="127"/>
      <c r="I35" s="127"/>
      <c r="J35" s="127"/>
      <c r="K35" s="127" t="str">
        <f>IF(M35="","",IFERROR(VLOOKUP(M35,SET!$A$2:$J$45,SET!$B$50+2,FALSE),""))</f>
        <v/>
      </c>
      <c r="L35" s="127"/>
      <c r="M35" s="127"/>
      <c r="N35" s="127"/>
    </row>
    <row r="36" ht="30.0" customHeight="1">
      <c r="A36" s="127"/>
      <c r="B36" s="127"/>
      <c r="C36" s="127"/>
      <c r="D36" s="128"/>
      <c r="E36" s="129"/>
      <c r="F36" s="129"/>
      <c r="G36" s="129"/>
      <c r="H36" s="127"/>
      <c r="I36" s="127"/>
      <c r="J36" s="127"/>
      <c r="K36" s="127" t="str">
        <f>IF(M36="","",IFERROR(VLOOKUP(M36,SET!$A$2:$J$45,SET!$B$50+2,FALSE),""))</f>
        <v/>
      </c>
      <c r="L36" s="127"/>
      <c r="M36" s="127"/>
      <c r="N36" s="127"/>
    </row>
    <row r="37" ht="30.0" customHeight="1">
      <c r="A37" s="127"/>
      <c r="B37" s="127"/>
      <c r="C37" s="127"/>
      <c r="D37" s="128"/>
      <c r="E37" s="129"/>
      <c r="F37" s="129"/>
      <c r="G37" s="129"/>
      <c r="H37" s="127"/>
      <c r="I37" s="127"/>
      <c r="J37" s="127"/>
      <c r="K37" s="127" t="str">
        <f>IF(M37="","",IFERROR(VLOOKUP(M37,SET!$A$2:$J$45,SET!$B$50+2,FALSE),""))</f>
        <v/>
      </c>
      <c r="L37" s="127"/>
      <c r="M37" s="127"/>
      <c r="N37" s="127"/>
    </row>
    <row r="38" ht="30.0" customHeight="1">
      <c r="A38" s="127"/>
      <c r="B38" s="127"/>
      <c r="C38" s="127"/>
      <c r="D38" s="128"/>
      <c r="E38" s="129"/>
      <c r="F38" s="129"/>
      <c r="G38" s="129"/>
      <c r="H38" s="127"/>
      <c r="I38" s="127"/>
      <c r="J38" s="127"/>
      <c r="K38" s="127" t="str">
        <f>IF(M38="","",IFERROR(VLOOKUP(M38,SET!$A$2:$J$45,SET!$B$50+2,FALSE),""))</f>
        <v/>
      </c>
      <c r="L38" s="127"/>
      <c r="M38" s="127"/>
      <c r="N38" s="127"/>
    </row>
    <row r="39" ht="30.0" customHeight="1">
      <c r="A39" s="127"/>
      <c r="B39" s="127"/>
      <c r="C39" s="127"/>
      <c r="D39" s="128"/>
      <c r="E39" s="129"/>
      <c r="F39" s="129"/>
      <c r="G39" s="129"/>
      <c r="H39" s="127"/>
      <c r="I39" s="127"/>
      <c r="J39" s="127"/>
      <c r="K39" s="127" t="str">
        <f>IF(M39="","",IFERROR(VLOOKUP(M39,SET!$A$2:$J$45,SET!$B$50+2,FALSE),""))</f>
        <v/>
      </c>
      <c r="L39" s="127"/>
      <c r="M39" s="127"/>
      <c r="N39" s="127"/>
    </row>
    <row r="40" ht="30.0" customHeight="1">
      <c r="A40" s="127"/>
      <c r="B40" s="127"/>
      <c r="C40" s="127"/>
      <c r="D40" s="128"/>
      <c r="E40" s="129"/>
      <c r="F40" s="129"/>
      <c r="G40" s="129"/>
      <c r="H40" s="127"/>
      <c r="I40" s="127"/>
      <c r="J40" s="127"/>
      <c r="K40" s="127" t="str">
        <f>IF(M40="","",IFERROR(VLOOKUP(M40,SET!$A$2:$J$45,SET!$B$50+2,FALSE),""))</f>
        <v/>
      </c>
      <c r="L40" s="127"/>
      <c r="M40" s="127"/>
      <c r="N40" s="127"/>
    </row>
    <row r="41" ht="30.0" customHeight="1">
      <c r="A41" s="127"/>
      <c r="B41" s="127"/>
      <c r="C41" s="127"/>
      <c r="D41" s="128"/>
      <c r="E41" s="129"/>
      <c r="F41" s="129"/>
      <c r="G41" s="129"/>
      <c r="H41" s="127"/>
      <c r="I41" s="127"/>
      <c r="J41" s="127"/>
      <c r="K41" s="127" t="str">
        <f>IF(M41="","",IFERROR(VLOOKUP(M41,SET!$A$2:$J$45,SET!$B$50+2,FALSE),""))</f>
        <v/>
      </c>
      <c r="L41" s="127"/>
      <c r="M41" s="127"/>
      <c r="N41" s="127"/>
    </row>
    <row r="42" ht="30.0" customHeight="1">
      <c r="A42" s="127"/>
      <c r="B42" s="127"/>
      <c r="C42" s="127"/>
      <c r="D42" s="128"/>
      <c r="E42" s="129"/>
      <c r="F42" s="129"/>
      <c r="G42" s="129"/>
      <c r="H42" s="127"/>
      <c r="I42" s="127"/>
      <c r="J42" s="127"/>
      <c r="K42" s="127" t="str">
        <f>IF(M42="","",IFERROR(VLOOKUP(M42,SET!$A$2:$J$45,SET!$B$50+2,FALSE),""))</f>
        <v/>
      </c>
      <c r="L42" s="127"/>
      <c r="M42" s="127"/>
      <c r="N42" s="127"/>
    </row>
    <row r="43" ht="30.0" customHeight="1">
      <c r="A43" s="127"/>
      <c r="B43" s="127"/>
      <c r="C43" s="127"/>
      <c r="D43" s="128"/>
      <c r="E43" s="129"/>
      <c r="F43" s="129"/>
      <c r="G43" s="129"/>
      <c r="H43" s="127"/>
      <c r="I43" s="127"/>
      <c r="J43" s="127"/>
      <c r="K43" s="127" t="str">
        <f>IF(M43="","",IFERROR(VLOOKUP(M43,SET!$A$2:$J$45,SET!$B$50+2,FALSE),""))</f>
        <v/>
      </c>
      <c r="L43" s="127"/>
      <c r="M43" s="127"/>
      <c r="N43" s="127"/>
    </row>
    <row r="44" ht="30.0" customHeight="1">
      <c r="A44" s="127"/>
      <c r="B44" s="127"/>
      <c r="C44" s="127"/>
      <c r="D44" s="128"/>
      <c r="E44" s="129"/>
      <c r="F44" s="129"/>
      <c r="G44" s="129"/>
      <c r="H44" s="127"/>
      <c r="I44" s="127"/>
      <c r="J44" s="127"/>
      <c r="K44" s="127" t="str">
        <f>IF(M44="","",IFERROR(VLOOKUP(M44,SET!$A$2:$J$45,SET!$B$50+2,FALSE),""))</f>
        <v/>
      </c>
      <c r="L44" s="127"/>
      <c r="M44" s="127"/>
      <c r="N44" s="127"/>
    </row>
    <row r="45" ht="30.0" customHeight="1">
      <c r="A45" s="127"/>
      <c r="B45" s="127"/>
      <c r="C45" s="127"/>
      <c r="D45" s="128"/>
      <c r="E45" s="129"/>
      <c r="F45" s="129"/>
      <c r="G45" s="129"/>
      <c r="H45" s="127"/>
      <c r="I45" s="127"/>
      <c r="J45" s="127"/>
      <c r="K45" s="127" t="str">
        <f>IF(M45="","",IFERROR(VLOOKUP(M45,SET!$A$2:$J$45,SET!$B$50+2,FALSE),""))</f>
        <v/>
      </c>
      <c r="L45" s="127"/>
      <c r="M45" s="127"/>
      <c r="N45" s="127"/>
    </row>
    <row r="46" ht="30.0" customHeight="1">
      <c r="A46" s="127"/>
      <c r="B46" s="127"/>
      <c r="C46" s="127"/>
      <c r="D46" s="128"/>
      <c r="E46" s="129"/>
      <c r="F46" s="129"/>
      <c r="G46" s="129"/>
      <c r="H46" s="127"/>
      <c r="I46" s="127"/>
      <c r="J46" s="127"/>
      <c r="K46" s="127" t="str">
        <f>IF(M46="","",IFERROR(VLOOKUP(M46,SET!$A$2:$J$45,SET!$B$50+2,FALSE),""))</f>
        <v/>
      </c>
      <c r="L46" s="127"/>
      <c r="M46" s="127"/>
      <c r="N46" s="127"/>
    </row>
    <row r="47" ht="30.0" customHeight="1">
      <c r="A47" s="127"/>
      <c r="B47" s="127"/>
      <c r="C47" s="127"/>
      <c r="D47" s="128"/>
      <c r="E47" s="129"/>
      <c r="F47" s="129"/>
      <c r="G47" s="129"/>
      <c r="H47" s="127"/>
      <c r="I47" s="127"/>
      <c r="J47" s="127"/>
      <c r="K47" s="127" t="str">
        <f>IF(M47="","",IFERROR(VLOOKUP(M47,SET!$A$2:$J$45,SET!$B$50+2,FALSE),""))</f>
        <v/>
      </c>
      <c r="L47" s="127"/>
      <c r="M47" s="127"/>
      <c r="N47" s="127"/>
    </row>
    <row r="48" ht="30.0" customHeight="1">
      <c r="A48" s="127"/>
      <c r="B48" s="127"/>
      <c r="C48" s="127"/>
      <c r="D48" s="128"/>
      <c r="E48" s="129"/>
      <c r="F48" s="129"/>
      <c r="G48" s="129"/>
      <c r="H48" s="127"/>
      <c r="I48" s="127"/>
      <c r="J48" s="127"/>
      <c r="K48" s="127" t="str">
        <f>IF(M48="","",IFERROR(VLOOKUP(M48,SET!$A$2:$J$45,SET!$B$50+2,FALSE),""))</f>
        <v/>
      </c>
      <c r="L48" s="127"/>
      <c r="M48" s="127"/>
      <c r="N48" s="127"/>
    </row>
    <row r="49" ht="30.0" customHeight="1">
      <c r="A49" s="127"/>
      <c r="B49" s="127"/>
      <c r="C49" s="127"/>
      <c r="D49" s="128"/>
      <c r="E49" s="129"/>
      <c r="F49" s="129"/>
      <c r="G49" s="129"/>
      <c r="H49" s="127"/>
      <c r="I49" s="127"/>
      <c r="J49" s="127"/>
      <c r="K49" s="127" t="str">
        <f>IF(M49="","",IFERROR(VLOOKUP(M49,SET!$A$2:$J$45,SET!$B$50+2,FALSE),""))</f>
        <v/>
      </c>
      <c r="L49" s="127"/>
      <c r="M49" s="127"/>
      <c r="N49" s="127"/>
    </row>
    <row r="50" ht="30.0" customHeight="1">
      <c r="A50" s="127"/>
      <c r="B50" s="127"/>
      <c r="C50" s="127"/>
      <c r="D50" s="128"/>
      <c r="E50" s="129"/>
      <c r="F50" s="129"/>
      <c r="G50" s="129"/>
      <c r="H50" s="127"/>
      <c r="I50" s="127"/>
      <c r="J50" s="127"/>
      <c r="K50" s="127" t="str">
        <f>IF(M50="","",IFERROR(VLOOKUP(M50,SET!$A$2:$J$45,SET!$B$50+2,FALSE),""))</f>
        <v/>
      </c>
      <c r="L50" s="127"/>
      <c r="M50" s="127"/>
      <c r="N50" s="127"/>
    </row>
    <row r="51" ht="30.0" customHeight="1">
      <c r="A51" s="127"/>
      <c r="B51" s="127"/>
      <c r="C51" s="127"/>
      <c r="D51" s="128"/>
      <c r="E51" s="129"/>
      <c r="F51" s="129"/>
      <c r="G51" s="129"/>
      <c r="H51" s="127"/>
      <c r="I51" s="127"/>
      <c r="J51" s="127"/>
      <c r="K51" s="127" t="str">
        <f>IF(M51="","",IFERROR(VLOOKUP(M51,SET!$A$2:$J$45,SET!$B$50+2,FALSE),""))</f>
        <v/>
      </c>
      <c r="L51" s="127"/>
      <c r="M51" s="127"/>
      <c r="N51" s="127"/>
    </row>
    <row r="52" ht="30.0" customHeight="1">
      <c r="A52" s="127"/>
      <c r="B52" s="127"/>
      <c r="C52" s="127"/>
      <c r="D52" s="128"/>
      <c r="E52" s="129"/>
      <c r="F52" s="129"/>
      <c r="G52" s="129"/>
      <c r="H52" s="127"/>
      <c r="I52" s="127"/>
      <c r="J52" s="127"/>
      <c r="K52" s="127" t="str">
        <f>IF(M52="","",IFERROR(VLOOKUP(M52,SET!$A$2:$J$45,SET!$B$50+2,FALSE),""))</f>
        <v/>
      </c>
      <c r="L52" s="127"/>
      <c r="M52" s="127"/>
      <c r="N52" s="127"/>
    </row>
    <row r="53" ht="30.0" customHeight="1">
      <c r="A53" s="127"/>
      <c r="B53" s="127"/>
      <c r="C53" s="127"/>
      <c r="D53" s="128"/>
      <c r="E53" s="129"/>
      <c r="F53" s="129"/>
      <c r="G53" s="129"/>
      <c r="H53" s="127"/>
      <c r="I53" s="127"/>
      <c r="J53" s="127"/>
      <c r="K53" s="127" t="str">
        <f>IF(M53="","",IFERROR(VLOOKUP(M53,SET!$A$2:$J$45,SET!$B$50+2,FALSE),""))</f>
        <v/>
      </c>
      <c r="L53" s="127"/>
      <c r="M53" s="127"/>
      <c r="N53" s="127"/>
    </row>
    <row r="54" ht="30.0" customHeight="1">
      <c r="A54" s="127"/>
      <c r="B54" s="127"/>
      <c r="C54" s="127"/>
      <c r="D54" s="128"/>
      <c r="E54" s="129"/>
      <c r="F54" s="129"/>
      <c r="G54" s="129"/>
      <c r="H54" s="127"/>
      <c r="I54" s="127"/>
      <c r="J54" s="127"/>
      <c r="K54" s="127" t="str">
        <f>IF(M54="","",IFERROR(VLOOKUP(M54,SET!$A$2:$J$45,SET!$B$50+2,FALSE),""))</f>
        <v/>
      </c>
      <c r="L54" s="127"/>
      <c r="M54" s="127"/>
      <c r="N54" s="127"/>
    </row>
    <row r="55" ht="30.0" customHeight="1">
      <c r="A55" s="127"/>
      <c r="B55" s="127"/>
      <c r="C55" s="127"/>
      <c r="D55" s="128"/>
      <c r="E55" s="129"/>
      <c r="F55" s="129"/>
      <c r="G55" s="129"/>
      <c r="H55" s="127"/>
      <c r="I55" s="127"/>
      <c r="J55" s="127"/>
      <c r="K55" s="127" t="str">
        <f>IF(M55="","",IFERROR(VLOOKUP(M55,SET!$A$2:$J$45,SET!$B$50+2,FALSE),""))</f>
        <v/>
      </c>
      <c r="L55" s="127"/>
      <c r="M55" s="127"/>
      <c r="N55" s="127"/>
    </row>
    <row r="56" ht="30.0" customHeight="1">
      <c r="A56" s="127"/>
      <c r="B56" s="127"/>
      <c r="C56" s="127"/>
      <c r="D56" s="128"/>
      <c r="E56" s="129"/>
      <c r="F56" s="129"/>
      <c r="G56" s="129"/>
      <c r="H56" s="127"/>
      <c r="I56" s="127"/>
      <c r="J56" s="127"/>
      <c r="K56" s="127" t="str">
        <f>IF(M56="","",IFERROR(VLOOKUP(M56,SET!$A$2:$J$45,SET!$B$50+2,FALSE),""))</f>
        <v/>
      </c>
      <c r="L56" s="127"/>
      <c r="M56" s="127"/>
      <c r="N56" s="127"/>
    </row>
    <row r="57" ht="30.0" customHeight="1">
      <c r="A57" s="127"/>
      <c r="B57" s="127"/>
      <c r="C57" s="127"/>
      <c r="D57" s="128"/>
      <c r="E57" s="129"/>
      <c r="F57" s="129"/>
      <c r="G57" s="129"/>
      <c r="H57" s="127"/>
      <c r="I57" s="127"/>
      <c r="J57" s="127"/>
      <c r="K57" s="127" t="str">
        <f>IF(M57="","",IFERROR(VLOOKUP(M57,SET!$A$2:$J$45,SET!$B$50+2,FALSE),""))</f>
        <v/>
      </c>
      <c r="L57" s="127"/>
      <c r="M57" s="127"/>
      <c r="N57" s="127"/>
    </row>
    <row r="58" ht="30.0" customHeight="1">
      <c r="A58" s="127"/>
      <c r="B58" s="127"/>
      <c r="C58" s="127"/>
      <c r="D58" s="128"/>
      <c r="E58" s="129"/>
      <c r="F58" s="129"/>
      <c r="G58" s="129"/>
      <c r="H58" s="127"/>
      <c r="I58" s="127"/>
      <c r="J58" s="127"/>
      <c r="K58" s="127" t="str">
        <f>IF(M58="","",IFERROR(VLOOKUP(M58,SET!$A$2:$J$45,SET!$B$50+2,FALSE),""))</f>
        <v/>
      </c>
      <c r="L58" s="127"/>
      <c r="M58" s="127"/>
      <c r="N58" s="127"/>
    </row>
    <row r="59" ht="30.0" customHeight="1">
      <c r="A59" s="127"/>
      <c r="B59" s="127"/>
      <c r="C59" s="127"/>
      <c r="D59" s="128"/>
      <c r="E59" s="129"/>
      <c r="F59" s="129"/>
      <c r="G59" s="129"/>
      <c r="H59" s="127"/>
      <c r="I59" s="127"/>
      <c r="J59" s="127"/>
      <c r="K59" s="127" t="str">
        <f>IF(M59="","",IFERROR(VLOOKUP(M59,SET!$A$2:$J$45,SET!$B$50+2,FALSE),""))</f>
        <v/>
      </c>
      <c r="L59" s="127"/>
      <c r="M59" s="127"/>
      <c r="N59" s="127"/>
    </row>
    <row r="60" ht="30.0" customHeight="1">
      <c r="A60" s="127"/>
      <c r="B60" s="127"/>
      <c r="C60" s="127"/>
      <c r="D60" s="128"/>
      <c r="E60" s="129"/>
      <c r="F60" s="129"/>
      <c r="G60" s="129"/>
      <c r="H60" s="127"/>
      <c r="I60" s="127"/>
      <c r="J60" s="127"/>
      <c r="K60" s="127" t="str">
        <f>IF(M60="","",IFERROR(VLOOKUP(M60,SET!$A$2:$J$45,SET!$B$50+2,FALSE),""))</f>
        <v/>
      </c>
      <c r="L60" s="127"/>
      <c r="M60" s="127"/>
      <c r="N60" s="127"/>
    </row>
    <row r="61" ht="30.0" customHeight="1">
      <c r="A61" s="127"/>
      <c r="B61" s="127"/>
      <c r="C61" s="127"/>
      <c r="D61" s="128"/>
      <c r="E61" s="129"/>
      <c r="F61" s="129"/>
      <c r="G61" s="129"/>
      <c r="H61" s="127"/>
      <c r="I61" s="127"/>
      <c r="J61" s="127"/>
      <c r="K61" s="127" t="str">
        <f>IF(M61="","",IFERROR(VLOOKUP(M61,SET!$A$2:$J$45,SET!$B$50+2,FALSE),""))</f>
        <v/>
      </c>
      <c r="L61" s="127"/>
      <c r="M61" s="127"/>
      <c r="N61" s="127"/>
    </row>
    <row r="62" ht="30.0" customHeight="1">
      <c r="A62" s="127"/>
      <c r="B62" s="127"/>
      <c r="C62" s="127"/>
      <c r="D62" s="128"/>
      <c r="E62" s="129"/>
      <c r="F62" s="129"/>
      <c r="G62" s="129"/>
      <c r="H62" s="127"/>
      <c r="I62" s="127"/>
      <c r="J62" s="127"/>
      <c r="K62" s="127" t="str">
        <f>IF(M62="","",IFERROR(VLOOKUP(M62,SET!$A$2:$J$45,SET!$B$50+2,FALSE),""))</f>
        <v/>
      </c>
      <c r="L62" s="127"/>
      <c r="M62" s="127"/>
      <c r="N62" s="127"/>
    </row>
    <row r="63" ht="30.0" customHeight="1">
      <c r="A63" s="127"/>
      <c r="B63" s="127"/>
      <c r="C63" s="127"/>
      <c r="D63" s="128"/>
      <c r="E63" s="129"/>
      <c r="F63" s="129"/>
      <c r="G63" s="129"/>
      <c r="H63" s="127"/>
      <c r="I63" s="127"/>
      <c r="J63" s="127"/>
      <c r="K63" s="127" t="str">
        <f>IF(M63="","",IFERROR(VLOOKUP(M63,SET!$A$2:$J$45,SET!$B$50+2,FALSE),""))</f>
        <v/>
      </c>
      <c r="L63" s="127"/>
      <c r="M63" s="127"/>
      <c r="N63" s="127"/>
    </row>
    <row r="64" ht="30.0" customHeight="1">
      <c r="A64" s="127"/>
      <c r="B64" s="127"/>
      <c r="C64" s="127"/>
      <c r="D64" s="128"/>
      <c r="E64" s="129"/>
      <c r="F64" s="129"/>
      <c r="G64" s="129"/>
      <c r="H64" s="127"/>
      <c r="I64" s="127"/>
      <c r="J64" s="127"/>
      <c r="K64" s="127" t="str">
        <f>IF(M64="","",IFERROR(VLOOKUP(M64,SET!$A$2:$J$45,SET!$B$50+2,FALSE),""))</f>
        <v/>
      </c>
      <c r="L64" s="127"/>
      <c r="M64" s="127"/>
      <c r="N64" s="127"/>
    </row>
    <row r="65" ht="30.0" customHeight="1">
      <c r="A65" s="127"/>
      <c r="B65" s="127"/>
      <c r="C65" s="127"/>
      <c r="D65" s="128"/>
      <c r="E65" s="129"/>
      <c r="F65" s="129"/>
      <c r="G65" s="129"/>
      <c r="H65" s="127"/>
      <c r="I65" s="127"/>
      <c r="J65" s="127"/>
      <c r="K65" s="127" t="str">
        <f>IF(M65="","",IFERROR(VLOOKUP(M65,SET!$A$2:$J$45,SET!$B$50+2,FALSE),""))</f>
        <v/>
      </c>
      <c r="L65" s="127"/>
      <c r="M65" s="127"/>
      <c r="N65" s="127"/>
    </row>
    <row r="66" ht="30.0" customHeight="1">
      <c r="A66" s="127"/>
      <c r="B66" s="127"/>
      <c r="C66" s="127"/>
      <c r="D66" s="128"/>
      <c r="E66" s="129"/>
      <c r="F66" s="129"/>
      <c r="G66" s="129"/>
      <c r="H66" s="127"/>
      <c r="I66" s="127"/>
      <c r="J66" s="127"/>
      <c r="K66" s="127" t="str">
        <f>IF(M66="","",IFERROR(VLOOKUP(M66,SET!$A$2:$J$45,SET!$B$50+2,FALSE),""))</f>
        <v/>
      </c>
      <c r="L66" s="127"/>
      <c r="M66" s="127"/>
      <c r="N66" s="127"/>
    </row>
    <row r="67" ht="30.0" customHeight="1">
      <c r="A67" s="127"/>
      <c r="B67" s="127"/>
      <c r="C67" s="127"/>
      <c r="D67" s="128"/>
      <c r="E67" s="129"/>
      <c r="F67" s="129"/>
      <c r="G67" s="129"/>
      <c r="H67" s="127"/>
      <c r="I67" s="127"/>
      <c r="J67" s="127"/>
      <c r="K67" s="127" t="str">
        <f>IF(M67="","",IFERROR(VLOOKUP(M67,SET!$A$2:$J$45,SET!$B$50+2,FALSE),""))</f>
        <v/>
      </c>
      <c r="L67" s="127"/>
      <c r="M67" s="127"/>
      <c r="N67" s="127"/>
    </row>
    <row r="68" ht="30.0" customHeight="1">
      <c r="A68" s="127"/>
      <c r="B68" s="127"/>
      <c r="C68" s="127"/>
      <c r="D68" s="128"/>
      <c r="E68" s="129"/>
      <c r="F68" s="129"/>
      <c r="G68" s="129"/>
      <c r="H68" s="127"/>
      <c r="I68" s="127"/>
      <c r="J68" s="127"/>
      <c r="K68" s="127" t="str">
        <f>IF(M68="","",IFERROR(VLOOKUP(M68,SET!$A$2:$J$45,SET!$B$50+2,FALSE),""))</f>
        <v/>
      </c>
      <c r="L68" s="127"/>
      <c r="M68" s="127"/>
      <c r="N68" s="127"/>
    </row>
    <row r="69" ht="30.0" customHeight="1">
      <c r="A69" s="127"/>
      <c r="B69" s="127"/>
      <c r="C69" s="127"/>
      <c r="D69" s="128"/>
      <c r="E69" s="129"/>
      <c r="F69" s="129"/>
      <c r="G69" s="129"/>
      <c r="H69" s="127"/>
      <c r="I69" s="127"/>
      <c r="J69" s="127"/>
      <c r="K69" s="127" t="str">
        <f>IF(M69="","",IFERROR(VLOOKUP(M69,SET!$A$2:$J$45,SET!$B$50+2,FALSE),""))</f>
        <v/>
      </c>
      <c r="L69" s="127"/>
      <c r="M69" s="127"/>
      <c r="N69" s="127"/>
    </row>
    <row r="70" ht="30.0" customHeight="1">
      <c r="A70" s="127"/>
      <c r="B70" s="127"/>
      <c r="C70" s="127"/>
      <c r="D70" s="128"/>
      <c r="E70" s="129"/>
      <c r="F70" s="129"/>
      <c r="G70" s="129"/>
      <c r="H70" s="127"/>
      <c r="I70" s="127"/>
      <c r="J70" s="127"/>
      <c r="K70" s="127" t="str">
        <f>IF(M70="","",IFERROR(VLOOKUP(M70,SET!$A$2:$J$45,SET!$B$50+2,FALSE),""))</f>
        <v/>
      </c>
      <c r="L70" s="127"/>
      <c r="M70" s="127"/>
      <c r="N70" s="127"/>
    </row>
    <row r="71" ht="30.0" customHeight="1">
      <c r="A71" s="127"/>
      <c r="B71" s="127"/>
      <c r="C71" s="127"/>
      <c r="D71" s="128"/>
      <c r="E71" s="129"/>
      <c r="F71" s="129"/>
      <c r="G71" s="129"/>
      <c r="H71" s="127"/>
      <c r="I71" s="127"/>
      <c r="J71" s="127"/>
      <c r="K71" s="127" t="str">
        <f>IF(M71="","",IFERROR(VLOOKUP(M71,SET!$A$2:$J$45,SET!$B$50+2,FALSE),""))</f>
        <v/>
      </c>
      <c r="L71" s="127"/>
      <c r="M71" s="127"/>
      <c r="N71" s="127"/>
    </row>
    <row r="72" ht="30.0" customHeight="1">
      <c r="A72" s="127"/>
      <c r="B72" s="127"/>
      <c r="C72" s="127"/>
      <c r="D72" s="128"/>
      <c r="E72" s="129"/>
      <c r="F72" s="129"/>
      <c r="G72" s="129"/>
      <c r="H72" s="127"/>
      <c r="I72" s="127"/>
      <c r="J72" s="127"/>
      <c r="K72" s="127" t="str">
        <f>IF(M72="","",IFERROR(VLOOKUP(M72,SET!$A$2:$J$45,SET!$B$50+2,FALSE),""))</f>
        <v/>
      </c>
      <c r="L72" s="127"/>
      <c r="M72" s="127"/>
      <c r="N72" s="127"/>
    </row>
    <row r="73" ht="30.0" customHeight="1">
      <c r="A73" s="127"/>
      <c r="B73" s="127"/>
      <c r="C73" s="127"/>
      <c r="D73" s="128"/>
      <c r="E73" s="129"/>
      <c r="F73" s="129"/>
      <c r="G73" s="129"/>
      <c r="H73" s="127"/>
      <c r="I73" s="127"/>
      <c r="J73" s="127"/>
      <c r="K73" s="127" t="str">
        <f>IF(M73="","",IFERROR(VLOOKUP(M73,SET!$A$2:$J$45,SET!$B$50+2,FALSE),""))</f>
        <v/>
      </c>
      <c r="L73" s="127"/>
      <c r="M73" s="127"/>
      <c r="N73" s="127"/>
    </row>
    <row r="74" ht="30.0" customHeight="1">
      <c r="A74" s="127"/>
      <c r="B74" s="127"/>
      <c r="C74" s="127"/>
      <c r="D74" s="128"/>
      <c r="E74" s="129"/>
      <c r="F74" s="129"/>
      <c r="G74" s="129"/>
      <c r="H74" s="127"/>
      <c r="I74" s="127"/>
      <c r="J74" s="127"/>
      <c r="K74" s="127" t="str">
        <f>IF(M74="","",IFERROR(VLOOKUP(M74,SET!$A$2:$J$45,SET!$B$50+2,FALSE),""))</f>
        <v/>
      </c>
      <c r="L74" s="127"/>
      <c r="M74" s="127"/>
      <c r="N74" s="127"/>
    </row>
    <row r="75" ht="30.0" customHeight="1">
      <c r="A75" s="127"/>
      <c r="B75" s="127"/>
      <c r="C75" s="127"/>
      <c r="D75" s="128"/>
      <c r="E75" s="129"/>
      <c r="F75" s="129"/>
      <c r="G75" s="129"/>
      <c r="H75" s="127"/>
      <c r="I75" s="127"/>
      <c r="J75" s="127"/>
      <c r="K75" s="127" t="str">
        <f>IF(M75="","",IFERROR(VLOOKUP(M75,SET!$A$2:$J$45,SET!$B$50+2,FALSE),""))</f>
        <v/>
      </c>
      <c r="L75" s="127"/>
      <c r="M75" s="127"/>
      <c r="N75" s="127"/>
    </row>
    <row r="76" ht="30.0" customHeight="1">
      <c r="A76" s="127"/>
      <c r="B76" s="127"/>
      <c r="C76" s="127"/>
      <c r="D76" s="128"/>
      <c r="E76" s="129"/>
      <c r="F76" s="129"/>
      <c r="G76" s="129"/>
      <c r="H76" s="127"/>
      <c r="I76" s="127"/>
      <c r="J76" s="127"/>
      <c r="K76" s="127" t="str">
        <f>IF(M76="","",IFERROR(VLOOKUP(M76,SET!$A$2:$J$45,SET!$B$50+2,FALSE),""))</f>
        <v/>
      </c>
      <c r="L76" s="127"/>
      <c r="M76" s="127"/>
      <c r="N76" s="127"/>
    </row>
    <row r="77" ht="30.0" customHeight="1">
      <c r="A77" s="127"/>
      <c r="B77" s="127"/>
      <c r="C77" s="127"/>
      <c r="D77" s="128"/>
      <c r="E77" s="129"/>
      <c r="F77" s="129"/>
      <c r="G77" s="129"/>
      <c r="H77" s="127"/>
      <c r="I77" s="127"/>
      <c r="J77" s="127"/>
      <c r="K77" s="127" t="str">
        <f>IF(M77="","",IFERROR(VLOOKUP(M77,SET!$A$2:$J$45,SET!$B$50+2,FALSE),""))</f>
        <v/>
      </c>
      <c r="L77" s="127"/>
      <c r="M77" s="127"/>
      <c r="N77" s="127"/>
    </row>
    <row r="78" ht="30.0" customHeight="1">
      <c r="A78" s="127"/>
      <c r="B78" s="127"/>
      <c r="C78" s="127"/>
      <c r="D78" s="128"/>
      <c r="E78" s="129"/>
      <c r="F78" s="129"/>
      <c r="G78" s="129"/>
      <c r="H78" s="127"/>
      <c r="I78" s="127"/>
      <c r="J78" s="127"/>
      <c r="K78" s="127" t="str">
        <f>IF(M78="","",IFERROR(VLOOKUP(M78,SET!$A$2:$J$45,SET!$B$50+2,FALSE),""))</f>
        <v/>
      </c>
      <c r="L78" s="127"/>
      <c r="M78" s="127"/>
      <c r="N78" s="127"/>
    </row>
    <row r="79" ht="30.0" customHeight="1">
      <c r="A79" s="127"/>
      <c r="B79" s="127"/>
      <c r="C79" s="127"/>
      <c r="D79" s="128"/>
      <c r="E79" s="129"/>
      <c r="F79" s="129"/>
      <c r="G79" s="129"/>
      <c r="H79" s="127"/>
      <c r="I79" s="127"/>
      <c r="J79" s="127"/>
      <c r="K79" s="127" t="str">
        <f>IF(M79="","",IFERROR(VLOOKUP(M79,SET!$A$2:$J$45,SET!$B$50+2,FALSE),""))</f>
        <v/>
      </c>
      <c r="L79" s="127"/>
      <c r="M79" s="127"/>
      <c r="N79" s="127"/>
    </row>
    <row r="80" ht="30.0" customHeight="1">
      <c r="A80" s="127"/>
      <c r="B80" s="127"/>
      <c r="C80" s="127"/>
      <c r="D80" s="128"/>
      <c r="E80" s="129"/>
      <c r="F80" s="129"/>
      <c r="G80" s="129"/>
      <c r="H80" s="127"/>
      <c r="I80" s="127"/>
      <c r="J80" s="127"/>
      <c r="K80" s="127" t="str">
        <f>IF(M80="","",IFERROR(VLOOKUP(M80,SET!$A$2:$J$45,SET!$B$50+2,FALSE),""))</f>
        <v/>
      </c>
      <c r="L80" s="127"/>
      <c r="M80" s="127"/>
      <c r="N80" s="127"/>
    </row>
    <row r="81" ht="30.0" customHeight="1">
      <c r="A81" s="127"/>
      <c r="B81" s="127"/>
      <c r="C81" s="127"/>
      <c r="D81" s="128"/>
      <c r="E81" s="129"/>
      <c r="F81" s="129"/>
      <c r="G81" s="129"/>
      <c r="H81" s="127"/>
      <c r="I81" s="127"/>
      <c r="J81" s="127"/>
      <c r="K81" s="127" t="str">
        <f>IF(M81="","",IFERROR(VLOOKUP(M81,SET!$A$2:$J$45,SET!$B$50+2,FALSE),""))</f>
        <v/>
      </c>
      <c r="L81" s="127"/>
      <c r="M81" s="127"/>
      <c r="N81" s="127"/>
    </row>
    <row r="82" ht="30.0" customHeight="1">
      <c r="A82" s="127"/>
      <c r="B82" s="127"/>
      <c r="C82" s="127"/>
      <c r="D82" s="128"/>
      <c r="E82" s="129"/>
      <c r="F82" s="129"/>
      <c r="G82" s="129"/>
      <c r="H82" s="127"/>
      <c r="I82" s="127"/>
      <c r="J82" s="127"/>
      <c r="K82" s="127" t="str">
        <f>IF(M82="","",IFERROR(VLOOKUP(M82,SET!$A$2:$J$45,SET!$B$50+2,FALSE),""))</f>
        <v/>
      </c>
      <c r="L82" s="127"/>
      <c r="M82" s="127"/>
      <c r="N82" s="127"/>
    </row>
    <row r="83" ht="30.0" customHeight="1">
      <c r="A83" s="127"/>
      <c r="B83" s="127"/>
      <c r="C83" s="127"/>
      <c r="D83" s="128"/>
      <c r="E83" s="129"/>
      <c r="F83" s="129"/>
      <c r="G83" s="129"/>
      <c r="H83" s="127"/>
      <c r="I83" s="127"/>
      <c r="J83" s="127"/>
      <c r="K83" s="127" t="str">
        <f>IF(M83="","",IFERROR(VLOOKUP(M83,SET!$A$2:$J$45,SET!$B$50+2,FALSE),""))</f>
        <v/>
      </c>
      <c r="L83" s="127"/>
      <c r="M83" s="127"/>
      <c r="N83" s="127"/>
    </row>
    <row r="84" ht="30.0" customHeight="1">
      <c r="A84" s="127"/>
      <c r="B84" s="127"/>
      <c r="C84" s="127"/>
      <c r="D84" s="128"/>
      <c r="E84" s="129"/>
      <c r="F84" s="129"/>
      <c r="G84" s="129"/>
      <c r="H84" s="127"/>
      <c r="I84" s="127"/>
      <c r="J84" s="127"/>
      <c r="K84" s="127" t="str">
        <f>IF(M84="","",IFERROR(VLOOKUP(M84,SET!$A$2:$J$45,SET!$B$50+2,FALSE),""))</f>
        <v/>
      </c>
      <c r="L84" s="127"/>
      <c r="M84" s="127"/>
      <c r="N84" s="127"/>
    </row>
    <row r="85" ht="30.0" customHeight="1">
      <c r="A85" s="127"/>
      <c r="B85" s="127"/>
      <c r="C85" s="127"/>
      <c r="D85" s="128"/>
      <c r="E85" s="129"/>
      <c r="F85" s="129"/>
      <c r="G85" s="129"/>
      <c r="H85" s="127"/>
      <c r="I85" s="127"/>
      <c r="J85" s="127"/>
      <c r="K85" s="127" t="str">
        <f>IF(M85="","",IFERROR(VLOOKUP(M85,SET!$A$2:$J$45,SET!$B$50+2,FALSE),""))</f>
        <v/>
      </c>
      <c r="L85" s="127"/>
      <c r="M85" s="127"/>
      <c r="N85" s="127"/>
    </row>
    <row r="86" ht="30.0" customHeight="1">
      <c r="A86" s="127"/>
      <c r="B86" s="127"/>
      <c r="C86" s="127"/>
      <c r="D86" s="128"/>
      <c r="E86" s="129"/>
      <c r="F86" s="129"/>
      <c r="G86" s="129"/>
      <c r="H86" s="127"/>
      <c r="I86" s="127"/>
      <c r="J86" s="127"/>
      <c r="K86" s="127" t="str">
        <f>IF(M86="","",IFERROR(VLOOKUP(M86,SET!$A$2:$J$45,SET!$B$50+2,FALSE),""))</f>
        <v/>
      </c>
      <c r="L86" s="127"/>
      <c r="M86" s="127"/>
      <c r="N86" s="127"/>
    </row>
    <row r="87" ht="30.0" customHeight="1">
      <c r="A87" s="127"/>
      <c r="B87" s="127"/>
      <c r="C87" s="127"/>
      <c r="D87" s="128"/>
      <c r="E87" s="129"/>
      <c r="F87" s="129"/>
      <c r="G87" s="129"/>
      <c r="H87" s="127"/>
      <c r="I87" s="127"/>
      <c r="J87" s="127"/>
      <c r="K87" s="127" t="str">
        <f>IF(M87="","",IFERROR(VLOOKUP(M87,SET!$A$2:$J$45,SET!$B$50+2,FALSE),""))</f>
        <v/>
      </c>
      <c r="L87" s="127"/>
      <c r="M87" s="127"/>
      <c r="N87" s="127"/>
    </row>
    <row r="88" ht="30.0" customHeight="1">
      <c r="A88" s="127"/>
      <c r="B88" s="127"/>
      <c r="C88" s="127"/>
      <c r="D88" s="128"/>
      <c r="E88" s="129"/>
      <c r="F88" s="129"/>
      <c r="G88" s="129"/>
      <c r="H88" s="127"/>
      <c r="I88" s="127"/>
      <c r="J88" s="127"/>
      <c r="K88" s="127" t="str">
        <f>IF(M88="","",IFERROR(VLOOKUP(M88,SET!$A$2:$J$45,SET!$B$50+2,FALSE),""))</f>
        <v/>
      </c>
      <c r="L88" s="127"/>
      <c r="M88" s="127"/>
      <c r="N88" s="127"/>
    </row>
    <row r="89" ht="30.0" customHeight="1">
      <c r="A89" s="127"/>
      <c r="B89" s="127"/>
      <c r="C89" s="127"/>
      <c r="D89" s="128"/>
      <c r="E89" s="129"/>
      <c r="F89" s="129"/>
      <c r="G89" s="129"/>
      <c r="H89" s="127"/>
      <c r="I89" s="127"/>
      <c r="J89" s="127"/>
      <c r="K89" s="127" t="str">
        <f>IF(M89="","",IFERROR(VLOOKUP(M89,SET!$A$2:$J$45,SET!$B$50+2,FALSE),""))</f>
        <v/>
      </c>
      <c r="L89" s="127"/>
      <c r="M89" s="127"/>
      <c r="N89" s="127"/>
    </row>
    <row r="90" ht="30.0" customHeight="1">
      <c r="A90" s="127"/>
      <c r="B90" s="127"/>
      <c r="C90" s="127"/>
      <c r="D90" s="128"/>
      <c r="E90" s="129"/>
      <c r="F90" s="129"/>
      <c r="G90" s="129"/>
      <c r="H90" s="127"/>
      <c r="I90" s="127"/>
      <c r="J90" s="127"/>
      <c r="K90" s="127" t="str">
        <f>IF(M90="","",IFERROR(VLOOKUP(M90,SET!$A$2:$J$45,SET!$B$50+2,FALSE),""))</f>
        <v/>
      </c>
      <c r="L90" s="127"/>
      <c r="M90" s="127"/>
      <c r="N90" s="127"/>
    </row>
    <row r="91" ht="30.0" customHeight="1">
      <c r="A91" s="127"/>
      <c r="B91" s="127"/>
      <c r="C91" s="127"/>
      <c r="D91" s="128"/>
      <c r="E91" s="129"/>
      <c r="F91" s="129"/>
      <c r="G91" s="129"/>
      <c r="H91" s="127"/>
      <c r="I91" s="127"/>
      <c r="J91" s="127"/>
      <c r="K91" s="127" t="str">
        <f>IF(M91="","",IFERROR(VLOOKUP(M91,SET!$A$2:$J$45,SET!$B$50+2,FALSE),""))</f>
        <v/>
      </c>
      <c r="L91" s="127"/>
      <c r="M91" s="127"/>
      <c r="N91" s="127"/>
    </row>
    <row r="92" ht="30.0" customHeight="1">
      <c r="A92" s="127"/>
      <c r="B92" s="127"/>
      <c r="C92" s="127"/>
      <c r="D92" s="128"/>
      <c r="E92" s="129"/>
      <c r="F92" s="129"/>
      <c r="G92" s="129"/>
      <c r="H92" s="127"/>
      <c r="I92" s="127"/>
      <c r="J92" s="127"/>
      <c r="K92" s="127" t="str">
        <f>IF(M92="","",IFERROR(VLOOKUP(M92,SET!$A$2:$J$45,SET!$B$50+2,FALSE),""))</f>
        <v/>
      </c>
      <c r="L92" s="127"/>
      <c r="M92" s="127"/>
      <c r="N92" s="127"/>
    </row>
    <row r="93" ht="30.0" customHeight="1">
      <c r="A93" s="127"/>
      <c r="B93" s="127"/>
      <c r="C93" s="127"/>
      <c r="D93" s="128"/>
      <c r="E93" s="129"/>
      <c r="F93" s="129"/>
      <c r="G93" s="129"/>
      <c r="H93" s="127"/>
      <c r="I93" s="127"/>
      <c r="J93" s="127"/>
      <c r="K93" s="127" t="str">
        <f>IF(M93="","",IFERROR(VLOOKUP(M93,SET!$A$2:$J$45,SET!$B$50+2,FALSE),""))</f>
        <v/>
      </c>
      <c r="L93" s="127"/>
      <c r="M93" s="127"/>
      <c r="N93" s="127"/>
    </row>
    <row r="94" ht="30.0" customHeight="1">
      <c r="A94" s="127"/>
      <c r="B94" s="127"/>
      <c r="C94" s="127"/>
      <c r="D94" s="128"/>
      <c r="E94" s="129"/>
      <c r="F94" s="129"/>
      <c r="G94" s="129"/>
      <c r="H94" s="127"/>
      <c r="I94" s="127"/>
      <c r="J94" s="127"/>
      <c r="K94" s="127" t="str">
        <f>IF(M94="","",IFERROR(VLOOKUP(M94,SET!$A$2:$J$45,SET!$B$50+2,FALSE),""))</f>
        <v/>
      </c>
      <c r="L94" s="127"/>
      <c r="M94" s="127"/>
      <c r="N94" s="127"/>
    </row>
    <row r="95" ht="30.0" customHeight="1">
      <c r="A95" s="127"/>
      <c r="B95" s="127"/>
      <c r="C95" s="127"/>
      <c r="D95" s="128"/>
      <c r="E95" s="129"/>
      <c r="F95" s="129"/>
      <c r="G95" s="129"/>
      <c r="H95" s="127"/>
      <c r="I95" s="127"/>
      <c r="J95" s="127"/>
      <c r="K95" s="127" t="str">
        <f>IF(M95="","",IFERROR(VLOOKUP(M95,SET!$A$2:$J$45,SET!$B$50+2,FALSE),""))</f>
        <v/>
      </c>
      <c r="L95" s="127"/>
      <c r="M95" s="127"/>
      <c r="N95" s="127"/>
    </row>
    <row r="96" ht="30.0" customHeight="1">
      <c r="A96" s="127"/>
      <c r="B96" s="127"/>
      <c r="C96" s="127"/>
      <c r="D96" s="128"/>
      <c r="E96" s="129"/>
      <c r="F96" s="129"/>
      <c r="G96" s="129"/>
      <c r="H96" s="127"/>
      <c r="I96" s="127"/>
      <c r="J96" s="127"/>
      <c r="K96" s="127" t="str">
        <f>IF(M96="","",IFERROR(VLOOKUP(M96,SET!$A$2:$J$45,SET!$B$50+2,FALSE),""))</f>
        <v/>
      </c>
      <c r="L96" s="127"/>
      <c r="M96" s="127"/>
      <c r="N96" s="127"/>
    </row>
    <row r="97" ht="30.0" customHeight="1">
      <c r="A97" s="127"/>
      <c r="B97" s="127"/>
      <c r="C97" s="127"/>
      <c r="D97" s="128"/>
      <c r="E97" s="129"/>
      <c r="F97" s="129"/>
      <c r="G97" s="129"/>
      <c r="H97" s="127"/>
      <c r="I97" s="127"/>
      <c r="J97" s="127"/>
      <c r="K97" s="127" t="str">
        <f>IF(M97="","",IFERROR(VLOOKUP(M97,SET!$A$2:$J$45,SET!$B$50+2,FALSE),""))</f>
        <v/>
      </c>
      <c r="L97" s="127"/>
      <c r="M97" s="127"/>
      <c r="N97" s="127"/>
    </row>
    <row r="98" ht="30.0" customHeight="1">
      <c r="A98" s="127"/>
      <c r="B98" s="127"/>
      <c r="C98" s="127"/>
      <c r="D98" s="128"/>
      <c r="E98" s="129"/>
      <c r="F98" s="129"/>
      <c r="G98" s="129"/>
      <c r="H98" s="127"/>
      <c r="I98" s="127"/>
      <c r="J98" s="127"/>
      <c r="K98" s="127" t="str">
        <f>IF(M98="","",IFERROR(VLOOKUP(M98,SET!$A$2:$J$45,SET!$B$50+2,FALSE),""))</f>
        <v/>
      </c>
      <c r="L98" s="127"/>
      <c r="M98" s="127"/>
      <c r="N98" s="127"/>
    </row>
    <row r="99" ht="30.0" customHeight="1">
      <c r="A99" s="127"/>
      <c r="B99" s="127"/>
      <c r="C99" s="127"/>
      <c r="D99" s="128"/>
      <c r="E99" s="129"/>
      <c r="F99" s="129"/>
      <c r="G99" s="129"/>
      <c r="H99" s="127"/>
      <c r="I99" s="127"/>
      <c r="J99" s="127"/>
      <c r="K99" s="127" t="str">
        <f>IF(M99="","",IFERROR(VLOOKUP(M99,SET!$A$2:$J$45,SET!$B$50+2,FALSE),""))</f>
        <v/>
      </c>
      <c r="L99" s="127"/>
      <c r="M99" s="127"/>
      <c r="N99" s="127"/>
    </row>
    <row r="100" ht="30.0" customHeight="1">
      <c r="A100" s="127"/>
      <c r="B100" s="127"/>
      <c r="C100" s="127"/>
      <c r="D100" s="128"/>
      <c r="E100" s="129"/>
      <c r="F100" s="129"/>
      <c r="G100" s="129"/>
      <c r="H100" s="127"/>
      <c r="I100" s="127"/>
      <c r="J100" s="127"/>
      <c r="K100" s="127" t="str">
        <f>IF(M100="","",IFERROR(VLOOKUP(M100,SET!$A$2:$J$45,SET!$B$50+2,FALSE),""))</f>
        <v/>
      </c>
      <c r="L100" s="127"/>
      <c r="M100" s="127"/>
      <c r="N100" s="127"/>
    </row>
    <row r="101" ht="30.0" customHeight="1">
      <c r="A101" s="127"/>
      <c r="B101" s="127"/>
      <c r="C101" s="127"/>
      <c r="D101" s="128"/>
      <c r="E101" s="129"/>
      <c r="F101" s="129"/>
      <c r="G101" s="129"/>
      <c r="H101" s="127"/>
      <c r="I101" s="127"/>
      <c r="J101" s="127"/>
      <c r="K101" s="127" t="str">
        <f>IF(M101="","",IFERROR(VLOOKUP(M101,SET!$A$2:$J$45,SET!$B$50+2,FALSE),""))</f>
        <v/>
      </c>
      <c r="L101" s="127"/>
      <c r="M101" s="127"/>
      <c r="N101" s="127"/>
    </row>
    <row r="102" ht="30.0" customHeight="1">
      <c r="A102" s="127"/>
      <c r="B102" s="127"/>
      <c r="C102" s="127"/>
      <c r="D102" s="128"/>
      <c r="E102" s="129"/>
      <c r="F102" s="129"/>
      <c r="G102" s="129"/>
      <c r="H102" s="127"/>
      <c r="I102" s="127"/>
      <c r="J102" s="127"/>
      <c r="K102" s="127" t="str">
        <f>IF(M102="","",IFERROR(VLOOKUP(M102,SET!$A$2:$J$45,SET!$B$50+2,FALSE),""))</f>
        <v/>
      </c>
      <c r="L102" s="127"/>
      <c r="M102" s="127"/>
      <c r="N102" s="127"/>
    </row>
    <row r="103" ht="30.0" customHeight="1">
      <c r="A103" s="127"/>
      <c r="B103" s="127"/>
      <c r="C103" s="127"/>
      <c r="D103" s="128"/>
      <c r="E103" s="129"/>
      <c r="F103" s="129"/>
      <c r="G103" s="129"/>
      <c r="H103" s="127"/>
      <c r="I103" s="127"/>
      <c r="J103" s="127"/>
      <c r="K103" s="127" t="str">
        <f>IF(M103="","",IFERROR(VLOOKUP(M103,SET!$A$2:$J$45,SET!$B$50+2,FALSE),""))</f>
        <v/>
      </c>
      <c r="L103" s="127"/>
      <c r="M103" s="127"/>
      <c r="N103" s="127"/>
    </row>
    <row r="104" ht="30.0" customHeight="1">
      <c r="A104" s="127"/>
      <c r="B104" s="127"/>
      <c r="C104" s="127"/>
      <c r="D104" s="128"/>
      <c r="E104" s="129"/>
      <c r="F104" s="129"/>
      <c r="G104" s="129"/>
      <c r="H104" s="127"/>
      <c r="I104" s="127"/>
      <c r="J104" s="127"/>
      <c r="K104" s="127" t="str">
        <f>IF(M104="","",IFERROR(VLOOKUP(M104,SET!$A$2:$J$45,SET!$B$50+2,FALSE),""))</f>
        <v/>
      </c>
      <c r="L104" s="127"/>
      <c r="M104" s="127"/>
      <c r="N104" s="127"/>
    </row>
    <row r="105" ht="30.0" customHeight="1">
      <c r="A105" s="127"/>
      <c r="B105" s="127"/>
      <c r="C105" s="127"/>
      <c r="D105" s="128"/>
      <c r="E105" s="129"/>
      <c r="F105" s="129"/>
      <c r="G105" s="129"/>
      <c r="H105" s="127"/>
      <c r="I105" s="127"/>
      <c r="J105" s="127"/>
      <c r="K105" s="127" t="str">
        <f>IF(M105="","",IFERROR(VLOOKUP(M105,SET!$A$2:$J$45,SET!$B$50+2,FALSE),""))</f>
        <v/>
      </c>
      <c r="L105" s="127"/>
      <c r="M105" s="127"/>
      <c r="N105" s="127"/>
    </row>
    <row r="106" ht="30.0" customHeight="1">
      <c r="A106" s="127"/>
      <c r="B106" s="127"/>
      <c r="C106" s="127"/>
      <c r="D106" s="128"/>
      <c r="E106" s="129"/>
      <c r="F106" s="129"/>
      <c r="G106" s="129"/>
      <c r="H106" s="127"/>
      <c r="I106" s="127"/>
      <c r="J106" s="127"/>
      <c r="K106" s="127" t="str">
        <f>IF(M106="","",IFERROR(VLOOKUP(M106,SET!$A$2:$J$45,SET!$B$50+2,FALSE),""))</f>
        <v/>
      </c>
      <c r="L106" s="127"/>
      <c r="M106" s="127"/>
      <c r="N106" s="127"/>
    </row>
    <row r="107" ht="30.0" customHeight="1">
      <c r="A107" s="127"/>
      <c r="B107" s="127"/>
      <c r="C107" s="127"/>
      <c r="D107" s="128"/>
      <c r="E107" s="129"/>
      <c r="F107" s="129"/>
      <c r="G107" s="129"/>
      <c r="H107" s="127"/>
      <c r="I107" s="127"/>
      <c r="J107" s="127"/>
      <c r="K107" s="127" t="str">
        <f>IF(M107="","",IFERROR(VLOOKUP(M107,SET!$A$2:$J$45,SET!$B$50+2,FALSE),""))</f>
        <v/>
      </c>
      <c r="L107" s="127"/>
      <c r="M107" s="127"/>
      <c r="N107" s="127"/>
    </row>
    <row r="108" ht="30.0" customHeight="1">
      <c r="A108" s="127"/>
      <c r="B108" s="127"/>
      <c r="C108" s="127"/>
      <c r="D108" s="128"/>
      <c r="E108" s="129"/>
      <c r="F108" s="129"/>
      <c r="G108" s="129"/>
      <c r="H108" s="127"/>
      <c r="I108" s="127"/>
      <c r="J108" s="127"/>
      <c r="K108" s="127" t="str">
        <f>IF(M108="","",IFERROR(VLOOKUP(M108,SET!$A$2:$J$45,SET!$B$50+2,FALSE),""))</f>
        <v/>
      </c>
      <c r="L108" s="127"/>
      <c r="M108" s="127"/>
      <c r="N108" s="127"/>
    </row>
    <row r="109" ht="30.0" customHeight="1">
      <c r="A109" s="127"/>
      <c r="B109" s="127"/>
      <c r="C109" s="127"/>
      <c r="D109" s="128"/>
      <c r="E109" s="129"/>
      <c r="F109" s="129"/>
      <c r="G109" s="129"/>
      <c r="H109" s="127"/>
      <c r="I109" s="127"/>
      <c r="J109" s="127"/>
      <c r="K109" s="127" t="str">
        <f>IF(M109="","",IFERROR(VLOOKUP(M109,SET!$A$2:$J$45,SET!$B$50+2,FALSE),""))</f>
        <v/>
      </c>
      <c r="L109" s="127"/>
      <c r="M109" s="127"/>
      <c r="N109" s="127"/>
    </row>
    <row r="110" ht="30.0" customHeight="1">
      <c r="A110" s="127"/>
      <c r="B110" s="127"/>
      <c r="C110" s="127"/>
      <c r="D110" s="128"/>
      <c r="E110" s="129"/>
      <c r="F110" s="129"/>
      <c r="G110" s="129"/>
      <c r="H110" s="127"/>
      <c r="I110" s="127"/>
      <c r="J110" s="127"/>
      <c r="K110" s="127" t="str">
        <f>IF(M110="","",IFERROR(VLOOKUP(M110,SET!$A$2:$J$45,SET!$B$50+2,FALSE),""))</f>
        <v/>
      </c>
      <c r="L110" s="127"/>
      <c r="M110" s="127"/>
      <c r="N110" s="127"/>
    </row>
    <row r="111" ht="30.0" customHeight="1">
      <c r="A111" s="127"/>
      <c r="B111" s="127"/>
      <c r="C111" s="127"/>
      <c r="D111" s="128"/>
      <c r="E111" s="129"/>
      <c r="F111" s="129"/>
      <c r="G111" s="129"/>
      <c r="H111" s="127"/>
      <c r="I111" s="127"/>
      <c r="J111" s="127"/>
      <c r="K111" s="127" t="str">
        <f>IF(M111="","",IFERROR(VLOOKUP(M111,SET!$A$2:$J$45,SET!$B$50+2,FALSE),""))</f>
        <v/>
      </c>
      <c r="L111" s="127"/>
      <c r="M111" s="127"/>
      <c r="N111" s="127"/>
    </row>
    <row r="112" ht="30.0" customHeight="1">
      <c r="A112" s="127"/>
      <c r="B112" s="127"/>
      <c r="C112" s="127"/>
      <c r="D112" s="128"/>
      <c r="E112" s="129"/>
      <c r="F112" s="129"/>
      <c r="G112" s="129"/>
      <c r="H112" s="127"/>
      <c r="I112" s="127"/>
      <c r="J112" s="127"/>
      <c r="K112" s="127" t="str">
        <f>IF(M112="","",IFERROR(VLOOKUP(M112,SET!$A$2:$J$45,SET!$B$50+2,FALSE),""))</f>
        <v/>
      </c>
      <c r="L112" s="127"/>
      <c r="M112" s="127"/>
      <c r="N112" s="127"/>
    </row>
    <row r="113" ht="30.0" customHeight="1">
      <c r="A113" s="127"/>
      <c r="B113" s="127"/>
      <c r="C113" s="127"/>
      <c r="D113" s="128"/>
      <c r="E113" s="129"/>
      <c r="F113" s="129"/>
      <c r="G113" s="129"/>
      <c r="H113" s="127"/>
      <c r="I113" s="127"/>
      <c r="J113" s="127"/>
      <c r="K113" s="127" t="str">
        <f>IF(M113="","",IFERROR(VLOOKUP(M113,SET!$A$2:$J$45,SET!$B$50+2,FALSE),""))</f>
        <v/>
      </c>
      <c r="L113" s="127"/>
      <c r="M113" s="127"/>
      <c r="N113" s="127"/>
    </row>
    <row r="114" ht="30.0" customHeight="1">
      <c r="A114" s="127"/>
      <c r="B114" s="127"/>
      <c r="C114" s="127"/>
      <c r="D114" s="128"/>
      <c r="E114" s="129"/>
      <c r="F114" s="129"/>
      <c r="G114" s="129"/>
      <c r="H114" s="127"/>
      <c r="I114" s="127"/>
      <c r="J114" s="127"/>
      <c r="K114" s="127" t="str">
        <f>IF(M114="","",IFERROR(VLOOKUP(M114,SET!$A$2:$J$45,SET!$B$50+2,FALSE),""))</f>
        <v/>
      </c>
      <c r="L114" s="127"/>
      <c r="M114" s="127"/>
      <c r="N114" s="127"/>
    </row>
    <row r="115" ht="30.0" customHeight="1">
      <c r="A115" s="127"/>
      <c r="B115" s="127"/>
      <c r="C115" s="127"/>
      <c r="D115" s="128"/>
      <c r="E115" s="129"/>
      <c r="F115" s="129"/>
      <c r="G115" s="129"/>
      <c r="H115" s="127"/>
      <c r="I115" s="127"/>
      <c r="J115" s="127"/>
      <c r="K115" s="127" t="str">
        <f>IF(M115="","",IFERROR(VLOOKUP(M115,SET!$A$2:$J$45,SET!$B$50+2,FALSE),""))</f>
        <v/>
      </c>
      <c r="L115" s="127"/>
      <c r="M115" s="127"/>
      <c r="N115" s="127"/>
    </row>
    <row r="116" ht="30.0" customHeight="1">
      <c r="A116" s="127"/>
      <c r="B116" s="127"/>
      <c r="C116" s="127"/>
      <c r="D116" s="128"/>
      <c r="E116" s="129"/>
      <c r="F116" s="129"/>
      <c r="G116" s="129"/>
      <c r="H116" s="127"/>
      <c r="I116" s="127"/>
      <c r="J116" s="127"/>
      <c r="K116" s="127" t="str">
        <f>IF(M116="","",IFERROR(VLOOKUP(M116,SET!$A$2:$J$45,SET!$B$50+2,FALSE),""))</f>
        <v/>
      </c>
      <c r="L116" s="127"/>
      <c r="M116" s="127"/>
      <c r="N116" s="127"/>
    </row>
    <row r="117" ht="30.0" customHeight="1">
      <c r="A117" s="127"/>
      <c r="B117" s="127"/>
      <c r="C117" s="127"/>
      <c r="D117" s="128"/>
      <c r="E117" s="129"/>
      <c r="F117" s="129"/>
      <c r="G117" s="129"/>
      <c r="H117" s="127"/>
      <c r="I117" s="127"/>
      <c r="J117" s="127"/>
      <c r="K117" s="127" t="str">
        <f>IF(M117="","",IFERROR(VLOOKUP(M117,SET!$A$2:$J$45,SET!$B$50+2,FALSE),""))</f>
        <v/>
      </c>
      <c r="L117" s="127"/>
      <c r="M117" s="127"/>
      <c r="N117" s="127"/>
    </row>
    <row r="118" ht="30.0" customHeight="1">
      <c r="A118" s="127"/>
      <c r="B118" s="127"/>
      <c r="C118" s="127"/>
      <c r="D118" s="128"/>
      <c r="E118" s="129"/>
      <c r="F118" s="129"/>
      <c r="G118" s="129"/>
      <c r="H118" s="127"/>
      <c r="I118" s="127"/>
      <c r="J118" s="127"/>
      <c r="K118" s="127" t="str">
        <f>IF(M118="","",IFERROR(VLOOKUP(M118,SET!$A$2:$J$45,SET!$B$50+2,FALSE),""))</f>
        <v/>
      </c>
      <c r="L118" s="127"/>
      <c r="M118" s="127"/>
      <c r="N118" s="127"/>
    </row>
    <row r="119" ht="30.0" customHeight="1">
      <c r="A119" s="127"/>
      <c r="B119" s="127"/>
      <c r="C119" s="127"/>
      <c r="D119" s="128"/>
      <c r="E119" s="129"/>
      <c r="F119" s="129"/>
      <c r="G119" s="129"/>
      <c r="H119" s="127"/>
      <c r="I119" s="127"/>
      <c r="J119" s="127"/>
      <c r="K119" s="127" t="str">
        <f>IF(M119="","",IFERROR(VLOOKUP(M119,SET!$A$2:$J$45,SET!$B$50+2,FALSE),""))</f>
        <v/>
      </c>
      <c r="L119" s="127"/>
      <c r="M119" s="127"/>
      <c r="N119" s="127"/>
    </row>
    <row r="120" ht="30.0" customHeight="1">
      <c r="A120" s="127"/>
      <c r="B120" s="127"/>
      <c r="C120" s="127"/>
      <c r="D120" s="128"/>
      <c r="E120" s="129"/>
      <c r="F120" s="129"/>
      <c r="G120" s="129"/>
      <c r="H120" s="127"/>
      <c r="I120" s="127"/>
      <c r="J120" s="127"/>
      <c r="K120" s="127" t="str">
        <f>IF(M120="","",IFERROR(VLOOKUP(M120,SET!$A$2:$J$45,SET!$B$50+2,FALSE),""))</f>
        <v/>
      </c>
      <c r="L120" s="127"/>
      <c r="M120" s="127"/>
      <c r="N120" s="127"/>
    </row>
    <row r="121" ht="30.0" customHeight="1">
      <c r="A121" s="127"/>
      <c r="B121" s="127"/>
      <c r="C121" s="127"/>
      <c r="D121" s="128"/>
      <c r="E121" s="129"/>
      <c r="F121" s="129"/>
      <c r="G121" s="129"/>
      <c r="H121" s="127"/>
      <c r="I121" s="127"/>
      <c r="J121" s="127"/>
      <c r="K121" s="127" t="str">
        <f>IF(M121="","",IFERROR(VLOOKUP(M121,SET!$A$2:$J$45,SET!$B$50+2,FALSE),""))</f>
        <v/>
      </c>
      <c r="L121" s="127"/>
      <c r="M121" s="127"/>
      <c r="N121" s="127"/>
    </row>
    <row r="122" ht="30.0" customHeight="1">
      <c r="A122" s="127"/>
      <c r="B122" s="127"/>
      <c r="C122" s="127"/>
      <c r="D122" s="128"/>
      <c r="E122" s="129"/>
      <c r="F122" s="129"/>
      <c r="G122" s="129"/>
      <c r="H122" s="127"/>
      <c r="I122" s="127"/>
      <c r="J122" s="127"/>
      <c r="K122" s="127" t="str">
        <f>IF(M122="","",IFERROR(VLOOKUP(M122,SET!$A$2:$J$45,SET!$B$50+2,FALSE),""))</f>
        <v/>
      </c>
      <c r="L122" s="127"/>
      <c r="M122" s="127"/>
      <c r="N122" s="127"/>
    </row>
    <row r="123" ht="30.0" customHeight="1">
      <c r="A123" s="127"/>
      <c r="B123" s="127"/>
      <c r="C123" s="127"/>
      <c r="D123" s="128"/>
      <c r="E123" s="129"/>
      <c r="F123" s="129"/>
      <c r="G123" s="129"/>
      <c r="H123" s="127"/>
      <c r="I123" s="127"/>
      <c r="J123" s="127"/>
      <c r="K123" s="127" t="str">
        <f>IF(M123="","",IFERROR(VLOOKUP(M123,SET!$A$2:$J$45,SET!$B$50+2,FALSE),""))</f>
        <v/>
      </c>
      <c r="L123" s="127"/>
      <c r="M123" s="127"/>
      <c r="N123" s="127"/>
    </row>
    <row r="124" ht="30.0" customHeight="1">
      <c r="A124" s="127"/>
      <c r="B124" s="127"/>
      <c r="C124" s="127"/>
      <c r="D124" s="128"/>
      <c r="E124" s="129"/>
      <c r="F124" s="129"/>
      <c r="G124" s="129"/>
      <c r="H124" s="127"/>
      <c r="I124" s="127"/>
      <c r="J124" s="127"/>
      <c r="K124" s="127" t="str">
        <f>IF(M124="","",IFERROR(VLOOKUP(M124,SET!$A$2:$J$45,SET!$B$50+2,FALSE),""))</f>
        <v/>
      </c>
      <c r="L124" s="127"/>
      <c r="M124" s="127"/>
      <c r="N124" s="127"/>
    </row>
    <row r="125" ht="30.0" customHeight="1">
      <c r="A125" s="127"/>
      <c r="B125" s="127"/>
      <c r="C125" s="127"/>
      <c r="D125" s="128"/>
      <c r="E125" s="129"/>
      <c r="F125" s="129"/>
      <c r="G125" s="129"/>
      <c r="H125" s="127"/>
      <c r="I125" s="127"/>
      <c r="J125" s="127"/>
      <c r="K125" s="127" t="str">
        <f>IF(M125="","",IFERROR(VLOOKUP(M125,SET!$A$2:$J$45,SET!$B$50+2,FALSE),""))</f>
        <v/>
      </c>
      <c r="L125" s="127"/>
      <c r="M125" s="127"/>
      <c r="N125" s="127"/>
    </row>
    <row r="126" ht="30.0" customHeight="1">
      <c r="A126" s="127"/>
      <c r="B126" s="127"/>
      <c r="C126" s="127"/>
      <c r="D126" s="128"/>
      <c r="E126" s="129"/>
      <c r="F126" s="129"/>
      <c r="G126" s="129"/>
      <c r="H126" s="127"/>
      <c r="I126" s="127"/>
      <c r="J126" s="127"/>
      <c r="K126" s="127" t="str">
        <f>IF(M126="","",IFERROR(VLOOKUP(M126,SET!$A$2:$J$45,SET!$B$50+2,FALSE),""))</f>
        <v/>
      </c>
      <c r="L126" s="127"/>
      <c r="M126" s="127"/>
      <c r="N126" s="127"/>
    </row>
    <row r="127" ht="30.0" customHeight="1">
      <c r="A127" s="127"/>
      <c r="B127" s="127"/>
      <c r="C127" s="127"/>
      <c r="D127" s="128"/>
      <c r="E127" s="129"/>
      <c r="F127" s="129"/>
      <c r="G127" s="129"/>
      <c r="H127" s="127"/>
      <c r="I127" s="127"/>
      <c r="J127" s="127"/>
      <c r="K127" s="127" t="str">
        <f>IF(M127="","",IFERROR(VLOOKUP(M127,SET!$A$2:$J$45,SET!$B$50+2,FALSE),""))</f>
        <v/>
      </c>
      <c r="L127" s="127"/>
      <c r="M127" s="127"/>
      <c r="N127" s="127"/>
    </row>
    <row r="128" ht="30.0" customHeight="1">
      <c r="A128" s="127"/>
      <c r="B128" s="127"/>
      <c r="C128" s="127"/>
      <c r="D128" s="128"/>
      <c r="E128" s="129"/>
      <c r="F128" s="129"/>
      <c r="G128" s="129"/>
      <c r="H128" s="127"/>
      <c r="I128" s="127"/>
      <c r="J128" s="127"/>
      <c r="K128" s="127" t="str">
        <f>IF(M128="","",IFERROR(VLOOKUP(M128,SET!$A$2:$J$45,SET!$B$50+2,FALSE),""))</f>
        <v/>
      </c>
      <c r="L128" s="127"/>
      <c r="M128" s="127"/>
      <c r="N128" s="127"/>
    </row>
    <row r="129" ht="30.0" customHeight="1">
      <c r="A129" s="127"/>
      <c r="B129" s="127"/>
      <c r="C129" s="127"/>
      <c r="D129" s="128"/>
      <c r="E129" s="129"/>
      <c r="F129" s="129"/>
      <c r="G129" s="129"/>
      <c r="H129" s="127"/>
      <c r="I129" s="127"/>
      <c r="J129" s="127"/>
      <c r="K129" s="127" t="str">
        <f>IF(M129="","",IFERROR(VLOOKUP(M129,SET!$A$2:$J$45,SET!$B$50+2,FALSE),""))</f>
        <v/>
      </c>
      <c r="L129" s="127"/>
      <c r="M129" s="127"/>
      <c r="N129" s="127"/>
    </row>
    <row r="130" ht="30.0" customHeight="1">
      <c r="A130" s="127"/>
      <c r="B130" s="127"/>
      <c r="C130" s="127"/>
      <c r="D130" s="128"/>
      <c r="E130" s="129"/>
      <c r="F130" s="129"/>
      <c r="G130" s="129"/>
      <c r="H130" s="127"/>
      <c r="I130" s="127"/>
      <c r="J130" s="127"/>
      <c r="K130" s="127" t="str">
        <f>IF(M130="","",IFERROR(VLOOKUP(M130,SET!$A$2:$J$45,SET!$B$50+2,FALSE),""))</f>
        <v/>
      </c>
      <c r="L130" s="127"/>
      <c r="M130" s="127"/>
      <c r="N130" s="127"/>
    </row>
    <row r="131" ht="30.0" customHeight="1">
      <c r="A131" s="127"/>
      <c r="B131" s="127"/>
      <c r="C131" s="127"/>
      <c r="D131" s="128"/>
      <c r="E131" s="129"/>
      <c r="F131" s="129"/>
      <c r="G131" s="129"/>
      <c r="H131" s="127"/>
      <c r="I131" s="127"/>
      <c r="J131" s="127"/>
      <c r="K131" s="127" t="str">
        <f>IF(M131="","",IFERROR(VLOOKUP(M131,SET!$A$2:$J$45,SET!$B$50+2,FALSE),""))</f>
        <v/>
      </c>
      <c r="L131" s="127"/>
      <c r="M131" s="127"/>
      <c r="N131" s="127"/>
    </row>
    <row r="132" ht="30.0" customHeight="1">
      <c r="A132" s="127"/>
      <c r="B132" s="127"/>
      <c r="C132" s="127"/>
      <c r="D132" s="128"/>
      <c r="E132" s="129"/>
      <c r="F132" s="129"/>
      <c r="G132" s="129"/>
      <c r="H132" s="127"/>
      <c r="I132" s="127"/>
      <c r="J132" s="127"/>
      <c r="K132" s="127" t="str">
        <f>IF(M132="","",IFERROR(VLOOKUP(M132,SET!$A$2:$J$45,SET!$B$50+2,FALSE),""))</f>
        <v/>
      </c>
      <c r="L132" s="127"/>
      <c r="M132" s="127"/>
      <c r="N132" s="127"/>
    </row>
    <row r="133" ht="30.0" customHeight="1">
      <c r="A133" s="127"/>
      <c r="B133" s="127"/>
      <c r="C133" s="127"/>
      <c r="D133" s="128"/>
      <c r="E133" s="129"/>
      <c r="F133" s="129"/>
      <c r="G133" s="129"/>
      <c r="H133" s="127"/>
      <c r="I133" s="127"/>
      <c r="J133" s="127"/>
      <c r="K133" s="127" t="str">
        <f>IF(M133="","",IFERROR(VLOOKUP(M133,SET!$A$2:$J$45,SET!$B$50+2,FALSE),""))</f>
        <v/>
      </c>
      <c r="L133" s="127"/>
      <c r="M133" s="127"/>
      <c r="N133" s="127"/>
    </row>
    <row r="134" ht="30.0" customHeight="1">
      <c r="A134" s="127"/>
      <c r="B134" s="127"/>
      <c r="C134" s="127"/>
      <c r="D134" s="128"/>
      <c r="E134" s="129"/>
      <c r="F134" s="129"/>
      <c r="G134" s="129"/>
      <c r="H134" s="127"/>
      <c r="I134" s="127"/>
      <c r="J134" s="127"/>
      <c r="K134" s="127" t="str">
        <f>IF(M134="","",IFERROR(VLOOKUP(M134,SET!$A$2:$J$45,SET!$B$50+2,FALSE),""))</f>
        <v/>
      </c>
      <c r="L134" s="127"/>
      <c r="M134" s="127"/>
      <c r="N134" s="127"/>
    </row>
    <row r="135" ht="30.0" customHeight="1">
      <c r="A135" s="127"/>
      <c r="B135" s="127"/>
      <c r="C135" s="127"/>
      <c r="D135" s="128"/>
      <c r="E135" s="129"/>
      <c r="F135" s="129"/>
      <c r="G135" s="129"/>
      <c r="H135" s="127"/>
      <c r="I135" s="127"/>
      <c r="J135" s="127"/>
      <c r="K135" s="127" t="str">
        <f>IF(M135="","",IFERROR(VLOOKUP(M135,SET!$A$2:$J$45,SET!$B$50+2,FALSE),""))</f>
        <v/>
      </c>
      <c r="L135" s="127"/>
      <c r="M135" s="127"/>
      <c r="N135" s="127"/>
    </row>
    <row r="136" ht="30.0" customHeight="1">
      <c r="A136" s="127"/>
      <c r="B136" s="127"/>
      <c r="C136" s="127"/>
      <c r="D136" s="128"/>
      <c r="E136" s="129"/>
      <c r="F136" s="129"/>
      <c r="G136" s="129"/>
      <c r="H136" s="127"/>
      <c r="I136" s="127"/>
      <c r="J136" s="127"/>
      <c r="K136" s="127" t="str">
        <f>IF(M136="","",IFERROR(VLOOKUP(M136,SET!$A$2:$J$45,SET!$B$50+2,FALSE),""))</f>
        <v/>
      </c>
      <c r="L136" s="127"/>
      <c r="M136" s="127"/>
      <c r="N136" s="127"/>
    </row>
    <row r="137" ht="30.0" customHeight="1">
      <c r="A137" s="127"/>
      <c r="B137" s="127"/>
      <c r="C137" s="127"/>
      <c r="D137" s="128"/>
      <c r="E137" s="129"/>
      <c r="F137" s="129"/>
      <c r="G137" s="129"/>
      <c r="H137" s="127"/>
      <c r="I137" s="127"/>
      <c r="J137" s="127"/>
      <c r="K137" s="127" t="str">
        <f>IF(M137="","",IFERROR(VLOOKUP(M137,SET!$A$2:$J$45,SET!$B$50+2,FALSE),""))</f>
        <v/>
      </c>
      <c r="L137" s="127"/>
      <c r="M137" s="127"/>
      <c r="N137" s="127"/>
    </row>
    <row r="138" ht="30.0" customHeight="1">
      <c r="A138" s="127"/>
      <c r="B138" s="127"/>
      <c r="C138" s="127"/>
      <c r="D138" s="128"/>
      <c r="E138" s="129"/>
      <c r="F138" s="129"/>
      <c r="G138" s="129"/>
      <c r="H138" s="127"/>
      <c r="I138" s="127"/>
      <c r="J138" s="127"/>
      <c r="K138" s="127" t="str">
        <f>IF(M138="","",IFERROR(VLOOKUP(M138,SET!$A$2:$J$45,SET!$B$50+2,FALSE),""))</f>
        <v/>
      </c>
      <c r="L138" s="127"/>
      <c r="M138" s="127"/>
      <c r="N138" s="127"/>
    </row>
    <row r="139" ht="30.0" customHeight="1">
      <c r="A139" s="127"/>
      <c r="B139" s="127"/>
      <c r="C139" s="127"/>
      <c r="D139" s="128"/>
      <c r="E139" s="129"/>
      <c r="F139" s="129"/>
      <c r="G139" s="129"/>
      <c r="H139" s="127"/>
      <c r="I139" s="127"/>
      <c r="J139" s="127"/>
      <c r="K139" s="127" t="str">
        <f>IF(M139="","",IFERROR(VLOOKUP(M139,SET!$A$2:$J$45,SET!$B$50+2,FALSE),""))</f>
        <v/>
      </c>
      <c r="L139" s="127"/>
      <c r="M139" s="127"/>
      <c r="N139" s="127"/>
    </row>
    <row r="140" ht="30.0" customHeight="1">
      <c r="A140" s="127"/>
      <c r="B140" s="127"/>
      <c r="C140" s="127"/>
      <c r="D140" s="128"/>
      <c r="E140" s="129"/>
      <c r="F140" s="129"/>
      <c r="G140" s="129"/>
      <c r="H140" s="127"/>
      <c r="I140" s="127"/>
      <c r="J140" s="127"/>
      <c r="K140" s="127" t="str">
        <f>IF(M140="","",IFERROR(VLOOKUP(M140,SET!$A$2:$J$45,SET!$B$50+2,FALSE),""))</f>
        <v/>
      </c>
      <c r="L140" s="127"/>
      <c r="M140" s="127"/>
      <c r="N140" s="127"/>
    </row>
    <row r="141" ht="30.0" customHeight="1">
      <c r="A141" s="127"/>
      <c r="B141" s="127"/>
      <c r="C141" s="127"/>
      <c r="D141" s="128"/>
      <c r="E141" s="129"/>
      <c r="F141" s="129"/>
      <c r="G141" s="129"/>
      <c r="H141" s="127"/>
      <c r="I141" s="127"/>
      <c r="J141" s="127"/>
      <c r="K141" s="127" t="str">
        <f>IF(M141="","",IFERROR(VLOOKUP(M141,SET!$A$2:$J$45,SET!$B$50+2,FALSE),""))</f>
        <v/>
      </c>
      <c r="L141" s="127"/>
      <c r="M141" s="127"/>
      <c r="N141" s="127"/>
    </row>
    <row r="142" ht="30.0" customHeight="1">
      <c r="A142" s="127"/>
      <c r="B142" s="127"/>
      <c r="C142" s="127"/>
      <c r="D142" s="128"/>
      <c r="E142" s="129"/>
      <c r="F142" s="129"/>
      <c r="G142" s="129"/>
      <c r="H142" s="127"/>
      <c r="I142" s="127"/>
      <c r="J142" s="127"/>
      <c r="K142" s="127" t="str">
        <f>IF(M142="","",IFERROR(VLOOKUP(M142,SET!$A$2:$J$45,SET!$B$50+2,FALSE),""))</f>
        <v/>
      </c>
      <c r="L142" s="127"/>
      <c r="M142" s="127"/>
      <c r="N142" s="127"/>
    </row>
    <row r="143" ht="30.0" customHeight="1">
      <c r="A143" s="127"/>
      <c r="B143" s="127"/>
      <c r="C143" s="127"/>
      <c r="D143" s="128"/>
      <c r="E143" s="129"/>
      <c r="F143" s="129"/>
      <c r="G143" s="129"/>
      <c r="H143" s="127"/>
      <c r="I143" s="127"/>
      <c r="J143" s="127"/>
      <c r="K143" s="127" t="str">
        <f>IF(M143="","",IFERROR(VLOOKUP(M143,SET!$A$2:$J$45,SET!$B$50+2,FALSE),""))</f>
        <v/>
      </c>
      <c r="L143" s="127"/>
      <c r="M143" s="127"/>
      <c r="N143" s="127"/>
    </row>
    <row r="144" ht="30.0" customHeight="1">
      <c r="A144" s="127"/>
      <c r="B144" s="127"/>
      <c r="C144" s="127"/>
      <c r="D144" s="128"/>
      <c r="E144" s="129"/>
      <c r="F144" s="129"/>
      <c r="G144" s="129"/>
      <c r="H144" s="127"/>
      <c r="I144" s="127"/>
      <c r="J144" s="127"/>
      <c r="K144" s="127" t="str">
        <f>IF(M144="","",IFERROR(VLOOKUP(M144,SET!$A$2:$J$45,SET!$B$50+2,FALSE),""))</f>
        <v/>
      </c>
      <c r="L144" s="127"/>
      <c r="M144" s="127"/>
      <c r="N144" s="127"/>
    </row>
    <row r="145" ht="30.0" customHeight="1">
      <c r="A145" s="127"/>
      <c r="B145" s="127"/>
      <c r="C145" s="127"/>
      <c r="D145" s="128"/>
      <c r="E145" s="129"/>
      <c r="F145" s="129"/>
      <c r="G145" s="129"/>
      <c r="H145" s="127"/>
      <c r="I145" s="127"/>
      <c r="J145" s="127"/>
      <c r="K145" s="127" t="str">
        <f>IF(M145="","",IFERROR(VLOOKUP(M145,SET!$A$2:$J$45,SET!$B$50+2,FALSE),""))</f>
        <v/>
      </c>
      <c r="L145" s="127"/>
      <c r="M145" s="127"/>
      <c r="N145" s="127"/>
    </row>
    <row r="146" ht="30.0" customHeight="1">
      <c r="A146" s="127"/>
      <c r="B146" s="127"/>
      <c r="C146" s="127"/>
      <c r="D146" s="128"/>
      <c r="E146" s="129"/>
      <c r="F146" s="129"/>
      <c r="G146" s="129"/>
      <c r="H146" s="127"/>
      <c r="I146" s="127"/>
      <c r="J146" s="127"/>
      <c r="K146" s="127" t="str">
        <f>IF(M146="","",IFERROR(VLOOKUP(M146,SET!$A$2:$J$45,SET!$B$50+2,FALSE),""))</f>
        <v/>
      </c>
      <c r="L146" s="127"/>
      <c r="M146" s="127"/>
      <c r="N146" s="127"/>
    </row>
    <row r="147" ht="30.0" customHeight="1">
      <c r="A147" s="127"/>
      <c r="B147" s="127"/>
      <c r="C147" s="127"/>
      <c r="D147" s="128"/>
      <c r="E147" s="129"/>
      <c r="F147" s="129"/>
      <c r="G147" s="129"/>
      <c r="H147" s="127"/>
      <c r="I147" s="127"/>
      <c r="J147" s="127"/>
      <c r="K147" s="127" t="str">
        <f>IF(M147="","",IFERROR(VLOOKUP(M147,SET!$A$2:$J$45,SET!$B$50+2,FALSE),""))</f>
        <v/>
      </c>
      <c r="L147" s="127"/>
      <c r="M147" s="127"/>
      <c r="N147" s="127"/>
    </row>
    <row r="148" ht="30.0" customHeight="1">
      <c r="A148" s="127"/>
      <c r="B148" s="127"/>
      <c r="C148" s="127"/>
      <c r="D148" s="128"/>
      <c r="E148" s="129"/>
      <c r="F148" s="129"/>
      <c r="G148" s="129"/>
      <c r="H148" s="127"/>
      <c r="I148" s="127"/>
      <c r="J148" s="127"/>
      <c r="K148" s="127" t="str">
        <f>IF(M148="","",IFERROR(VLOOKUP(M148,SET!$A$2:$J$45,SET!$B$50+2,FALSE),""))</f>
        <v/>
      </c>
      <c r="L148" s="127"/>
      <c r="M148" s="127"/>
      <c r="N148" s="127"/>
    </row>
    <row r="149" ht="30.0" customHeight="1">
      <c r="A149" s="127"/>
      <c r="B149" s="127"/>
      <c r="C149" s="127"/>
      <c r="D149" s="128"/>
      <c r="E149" s="129"/>
      <c r="F149" s="129"/>
      <c r="G149" s="129"/>
      <c r="H149" s="127"/>
      <c r="I149" s="127"/>
      <c r="J149" s="127"/>
      <c r="K149" s="127" t="str">
        <f>IF(M149="","",IFERROR(VLOOKUP(M149,SET!$A$2:$J$45,SET!$B$50+2,FALSE),""))</f>
        <v/>
      </c>
      <c r="L149" s="127"/>
      <c r="M149" s="127"/>
      <c r="N149" s="127"/>
    </row>
    <row r="150" ht="30.0" customHeight="1">
      <c r="A150" s="127"/>
      <c r="B150" s="127"/>
      <c r="C150" s="127"/>
      <c r="D150" s="128"/>
      <c r="E150" s="129"/>
      <c r="F150" s="129"/>
      <c r="G150" s="129"/>
      <c r="H150" s="127"/>
      <c r="I150" s="127"/>
      <c r="J150" s="127"/>
      <c r="K150" s="127" t="str">
        <f>IF(M150="","",IFERROR(VLOOKUP(M150,SET!$A$2:$J$45,SET!$B$50+2,FALSE),""))</f>
        <v/>
      </c>
      <c r="L150" s="127"/>
      <c r="M150" s="127"/>
      <c r="N150" s="127"/>
    </row>
    <row r="151" ht="30.0" customHeight="1">
      <c r="A151" s="127"/>
      <c r="B151" s="127"/>
      <c r="C151" s="127"/>
      <c r="D151" s="128"/>
      <c r="E151" s="129"/>
      <c r="F151" s="129"/>
      <c r="G151" s="129"/>
      <c r="H151" s="127"/>
      <c r="I151" s="127"/>
      <c r="J151" s="127"/>
      <c r="K151" s="127" t="str">
        <f>IF(M151="","",IFERROR(VLOOKUP(M151,SET!$A$2:$J$45,SET!$B$50+2,FALSE),""))</f>
        <v/>
      </c>
      <c r="L151" s="127"/>
      <c r="M151" s="127"/>
      <c r="N151" s="127"/>
    </row>
    <row r="152" ht="30.0" customHeight="1">
      <c r="A152" s="127"/>
      <c r="B152" s="127"/>
      <c r="C152" s="127"/>
      <c r="D152" s="128"/>
      <c r="E152" s="129"/>
      <c r="F152" s="129"/>
      <c r="G152" s="129"/>
      <c r="H152" s="127"/>
      <c r="I152" s="127"/>
      <c r="J152" s="127"/>
      <c r="K152" s="127" t="str">
        <f>IF(M152="","",IFERROR(VLOOKUP(M152,SET!$A$2:$J$45,SET!$B$50+2,FALSE),""))</f>
        <v/>
      </c>
      <c r="L152" s="127"/>
      <c r="M152" s="127"/>
      <c r="N152" s="127"/>
    </row>
    <row r="153" ht="30.0" customHeight="1">
      <c r="A153" s="127"/>
      <c r="B153" s="127"/>
      <c r="C153" s="127"/>
      <c r="D153" s="128"/>
      <c r="E153" s="129"/>
      <c r="F153" s="129"/>
      <c r="G153" s="129"/>
      <c r="H153" s="127"/>
      <c r="I153" s="127"/>
      <c r="J153" s="127"/>
      <c r="K153" s="127" t="str">
        <f>IF(M153="","",IFERROR(VLOOKUP(M153,SET!$A$2:$J$45,SET!$B$50+2,FALSE),""))</f>
        <v/>
      </c>
      <c r="L153" s="127"/>
      <c r="M153" s="127"/>
      <c r="N153" s="127"/>
    </row>
    <row r="154" ht="30.0" customHeight="1">
      <c r="A154" s="127"/>
      <c r="B154" s="127"/>
      <c r="C154" s="127"/>
      <c r="D154" s="128"/>
      <c r="E154" s="129"/>
      <c r="F154" s="129"/>
      <c r="G154" s="129"/>
      <c r="H154" s="127"/>
      <c r="I154" s="127"/>
      <c r="J154" s="127"/>
      <c r="K154" s="127" t="str">
        <f>IF(M154="","",IFERROR(VLOOKUP(M154,SET!$A$2:$J$45,SET!$B$50+2,FALSE),""))</f>
        <v/>
      </c>
      <c r="L154" s="127"/>
      <c r="M154" s="127"/>
      <c r="N154" s="127"/>
    </row>
    <row r="155" ht="30.0" customHeight="1">
      <c r="A155" s="127"/>
      <c r="B155" s="127"/>
      <c r="C155" s="127"/>
      <c r="D155" s="128"/>
      <c r="E155" s="129"/>
      <c r="F155" s="129"/>
      <c r="G155" s="129"/>
      <c r="H155" s="127"/>
      <c r="I155" s="127"/>
      <c r="J155" s="127"/>
      <c r="K155" s="127" t="str">
        <f>IF(M155="","",IFERROR(VLOOKUP(M155,SET!$A$2:$J$45,SET!$B$50+2,FALSE),""))</f>
        <v/>
      </c>
      <c r="L155" s="127"/>
      <c r="M155" s="127"/>
      <c r="N155" s="127"/>
    </row>
    <row r="156" ht="30.0" customHeight="1">
      <c r="A156" s="127"/>
      <c r="B156" s="127"/>
      <c r="C156" s="127"/>
      <c r="D156" s="128"/>
      <c r="E156" s="129"/>
      <c r="F156" s="129"/>
      <c r="G156" s="129"/>
      <c r="H156" s="127"/>
      <c r="I156" s="127"/>
      <c r="J156" s="127"/>
      <c r="K156" s="127" t="str">
        <f>IF(M156="","",IFERROR(VLOOKUP(M156,SET!$A$2:$J$45,SET!$B$50+2,FALSE),""))</f>
        <v/>
      </c>
      <c r="L156" s="127"/>
      <c r="M156" s="127"/>
      <c r="N156" s="127"/>
    </row>
    <row r="157" ht="30.0" customHeight="1">
      <c r="A157" s="127"/>
      <c r="B157" s="127"/>
      <c r="C157" s="127"/>
      <c r="D157" s="128"/>
      <c r="E157" s="129"/>
      <c r="F157" s="129"/>
      <c r="G157" s="129"/>
      <c r="H157" s="127"/>
      <c r="I157" s="127"/>
      <c r="J157" s="127"/>
      <c r="K157" s="127" t="str">
        <f>IF(M157="","",IFERROR(VLOOKUP(M157,SET!$A$2:$J$45,SET!$B$50+2,FALSE),""))</f>
        <v/>
      </c>
      <c r="L157" s="127"/>
      <c r="M157" s="127"/>
      <c r="N157" s="127"/>
    </row>
    <row r="158" ht="30.0" customHeight="1">
      <c r="A158" s="127"/>
      <c r="B158" s="127"/>
      <c r="C158" s="127"/>
      <c r="D158" s="128"/>
      <c r="E158" s="129"/>
      <c r="F158" s="129"/>
      <c r="G158" s="129"/>
      <c r="H158" s="127"/>
      <c r="I158" s="127"/>
      <c r="J158" s="127"/>
      <c r="K158" s="127" t="str">
        <f>IF(M158="","",IFERROR(VLOOKUP(M158,SET!$A$2:$J$45,SET!$B$50+2,FALSE),""))</f>
        <v/>
      </c>
      <c r="L158" s="127"/>
      <c r="M158" s="127"/>
      <c r="N158" s="127"/>
    </row>
    <row r="159" ht="30.0" customHeight="1">
      <c r="A159" s="127"/>
      <c r="B159" s="127"/>
      <c r="C159" s="127"/>
      <c r="D159" s="128"/>
      <c r="E159" s="129"/>
      <c r="F159" s="129"/>
      <c r="G159" s="129"/>
      <c r="H159" s="127"/>
      <c r="I159" s="127"/>
      <c r="J159" s="127"/>
      <c r="K159" s="127" t="str">
        <f>IF(M159="","",IFERROR(VLOOKUP(M159,SET!$A$2:$J$45,SET!$B$50+2,FALSE),""))</f>
        <v/>
      </c>
      <c r="L159" s="127"/>
      <c r="M159" s="127"/>
      <c r="N159" s="127"/>
    </row>
    <row r="160" ht="30.0" customHeight="1">
      <c r="A160" s="127"/>
      <c r="B160" s="127"/>
      <c r="C160" s="127"/>
      <c r="D160" s="128"/>
      <c r="E160" s="129"/>
      <c r="F160" s="129"/>
      <c r="G160" s="129"/>
      <c r="H160" s="127"/>
      <c r="I160" s="127"/>
      <c r="J160" s="127"/>
      <c r="K160" s="127" t="str">
        <f>IF(M160="","",IFERROR(VLOOKUP(M160,SET!$A$2:$J$45,SET!$B$50+2,FALSE),""))</f>
        <v/>
      </c>
      <c r="L160" s="127"/>
      <c r="M160" s="127"/>
      <c r="N160" s="127"/>
    </row>
    <row r="161" ht="30.0" customHeight="1">
      <c r="A161" s="127"/>
      <c r="B161" s="127"/>
      <c r="C161" s="127"/>
      <c r="D161" s="128"/>
      <c r="E161" s="129"/>
      <c r="F161" s="129"/>
      <c r="G161" s="129"/>
      <c r="H161" s="127"/>
      <c r="I161" s="127"/>
      <c r="J161" s="127"/>
      <c r="K161" s="127" t="str">
        <f>IF(M161="","",IFERROR(VLOOKUP(M161,SET!$A$2:$J$45,SET!$B$50+2,FALSE),""))</f>
        <v/>
      </c>
      <c r="L161" s="127"/>
      <c r="M161" s="127"/>
      <c r="N161" s="127"/>
    </row>
    <row r="162" ht="30.0" customHeight="1">
      <c r="A162" s="127"/>
      <c r="B162" s="127"/>
      <c r="C162" s="127"/>
      <c r="D162" s="128"/>
      <c r="E162" s="129"/>
      <c r="F162" s="129"/>
      <c r="G162" s="129"/>
      <c r="H162" s="127"/>
      <c r="I162" s="127"/>
      <c r="J162" s="127"/>
      <c r="K162" s="127" t="str">
        <f>IF(M162="","",IFERROR(VLOOKUP(M162,SET!$A$2:$J$45,SET!$B$50+2,FALSE),""))</f>
        <v/>
      </c>
      <c r="L162" s="127"/>
      <c r="M162" s="127"/>
      <c r="N162" s="127"/>
    </row>
    <row r="163" ht="30.0" customHeight="1">
      <c r="A163" s="127"/>
      <c r="B163" s="127"/>
      <c r="C163" s="127"/>
      <c r="D163" s="128"/>
      <c r="E163" s="129"/>
      <c r="F163" s="129"/>
      <c r="G163" s="129"/>
      <c r="H163" s="127"/>
      <c r="I163" s="127"/>
      <c r="J163" s="127"/>
      <c r="K163" s="127" t="str">
        <f>IF(M163="","",IFERROR(VLOOKUP(M163,SET!$A$2:$J$45,SET!$B$50+2,FALSE),""))</f>
        <v/>
      </c>
      <c r="L163" s="127"/>
      <c r="M163" s="127"/>
      <c r="N163" s="127"/>
    </row>
    <row r="164" ht="30.0" customHeight="1">
      <c r="A164" s="127"/>
      <c r="B164" s="127"/>
      <c r="C164" s="127"/>
      <c r="D164" s="128"/>
      <c r="E164" s="129"/>
      <c r="F164" s="129"/>
      <c r="G164" s="129"/>
      <c r="H164" s="127"/>
      <c r="I164" s="127"/>
      <c r="J164" s="127"/>
      <c r="K164" s="127" t="str">
        <f>IF(M164="","",IFERROR(VLOOKUP(M164,SET!$A$2:$J$45,SET!$B$50+2,FALSE),""))</f>
        <v/>
      </c>
      <c r="L164" s="127"/>
      <c r="M164" s="127"/>
      <c r="N164" s="127"/>
    </row>
    <row r="165" ht="30.0" customHeight="1">
      <c r="A165" s="127"/>
      <c r="B165" s="127"/>
      <c r="C165" s="127"/>
      <c r="D165" s="128"/>
      <c r="E165" s="129"/>
      <c r="F165" s="129"/>
      <c r="G165" s="129"/>
      <c r="H165" s="127"/>
      <c r="I165" s="127"/>
      <c r="J165" s="127"/>
      <c r="K165" s="127" t="str">
        <f>IF(M165="","",IFERROR(VLOOKUP(M165,SET!$A$2:$J$45,SET!$B$50+2,FALSE),""))</f>
        <v/>
      </c>
      <c r="L165" s="127"/>
      <c r="M165" s="127"/>
      <c r="N165" s="127"/>
    </row>
    <row r="166" ht="30.0" customHeight="1">
      <c r="A166" s="127"/>
      <c r="B166" s="127"/>
      <c r="C166" s="127"/>
      <c r="D166" s="128"/>
      <c r="E166" s="129"/>
      <c r="F166" s="129"/>
      <c r="G166" s="129"/>
      <c r="H166" s="127"/>
      <c r="I166" s="127"/>
      <c r="J166" s="127"/>
      <c r="K166" s="127" t="str">
        <f>IF(M166="","",IFERROR(VLOOKUP(M166,SET!$A$2:$J$45,SET!$B$50+2,FALSE),""))</f>
        <v/>
      </c>
      <c r="L166" s="127"/>
      <c r="M166" s="127"/>
      <c r="N166" s="127"/>
    </row>
    <row r="167" ht="30.0" customHeight="1">
      <c r="A167" s="127"/>
      <c r="B167" s="127"/>
      <c r="C167" s="127"/>
      <c r="D167" s="128"/>
      <c r="E167" s="129"/>
      <c r="F167" s="129"/>
      <c r="G167" s="129"/>
      <c r="H167" s="127"/>
      <c r="I167" s="127"/>
      <c r="J167" s="127"/>
      <c r="K167" s="127" t="str">
        <f>IF(M167="","",IFERROR(VLOOKUP(M167,SET!$A$2:$J$45,SET!$B$50+2,FALSE),""))</f>
        <v/>
      </c>
      <c r="L167" s="127"/>
      <c r="M167" s="127"/>
      <c r="N167" s="127"/>
    </row>
    <row r="168" ht="30.0" customHeight="1">
      <c r="A168" s="127"/>
      <c r="B168" s="127"/>
      <c r="C168" s="127"/>
      <c r="D168" s="128"/>
      <c r="E168" s="129"/>
      <c r="F168" s="129"/>
      <c r="G168" s="129"/>
      <c r="H168" s="127"/>
      <c r="I168" s="127"/>
      <c r="J168" s="127"/>
      <c r="K168" s="127" t="str">
        <f>IF(M168="","",IFERROR(VLOOKUP(M168,SET!$A$2:$J$45,SET!$B$50+2,FALSE),""))</f>
        <v/>
      </c>
      <c r="L168" s="127"/>
      <c r="M168" s="127"/>
      <c r="N168" s="127"/>
    </row>
    <row r="169" ht="30.0" customHeight="1">
      <c r="A169" s="127"/>
      <c r="B169" s="127"/>
      <c r="C169" s="127"/>
      <c r="D169" s="128"/>
      <c r="E169" s="129"/>
      <c r="F169" s="129"/>
      <c r="G169" s="129"/>
      <c r="H169" s="127"/>
      <c r="I169" s="127"/>
      <c r="J169" s="127"/>
      <c r="K169" s="127" t="str">
        <f>IF(M169="","",IFERROR(VLOOKUP(M169,SET!$A$2:$J$45,SET!$B$50+2,FALSE),""))</f>
        <v/>
      </c>
      <c r="L169" s="127"/>
      <c r="M169" s="127"/>
      <c r="N169" s="127"/>
    </row>
    <row r="170" ht="30.0" customHeight="1">
      <c r="A170" s="127"/>
      <c r="B170" s="127"/>
      <c r="C170" s="127"/>
      <c r="D170" s="128"/>
      <c r="E170" s="129"/>
      <c r="F170" s="129"/>
      <c r="G170" s="129"/>
      <c r="H170" s="127"/>
      <c r="I170" s="127"/>
      <c r="J170" s="127"/>
      <c r="K170" s="127" t="str">
        <f>IF(M170="","",IFERROR(VLOOKUP(M170,SET!$A$2:$J$45,SET!$B$50+2,FALSE),""))</f>
        <v/>
      </c>
      <c r="L170" s="127"/>
      <c r="M170" s="127"/>
      <c r="N170" s="127"/>
    </row>
    <row r="171" ht="30.0" customHeight="1">
      <c r="A171" s="127"/>
      <c r="B171" s="127"/>
      <c r="C171" s="127"/>
      <c r="D171" s="128"/>
      <c r="E171" s="129"/>
      <c r="F171" s="129"/>
      <c r="G171" s="129"/>
      <c r="H171" s="127"/>
      <c r="I171" s="127"/>
      <c r="J171" s="127"/>
      <c r="K171" s="127" t="str">
        <f>IF(M171="","",IFERROR(VLOOKUP(M171,SET!$A$2:$J$45,SET!$B$50+2,FALSE),""))</f>
        <v/>
      </c>
      <c r="L171" s="127"/>
      <c r="M171" s="127"/>
      <c r="N171" s="127"/>
    </row>
    <row r="172" ht="30.0" customHeight="1">
      <c r="A172" s="127"/>
      <c r="B172" s="127"/>
      <c r="C172" s="127"/>
      <c r="D172" s="128"/>
      <c r="E172" s="129"/>
      <c r="F172" s="129"/>
      <c r="G172" s="129"/>
      <c r="H172" s="127"/>
      <c r="I172" s="127"/>
      <c r="J172" s="127"/>
      <c r="K172" s="127" t="str">
        <f>IF(M172="","",IFERROR(VLOOKUP(M172,SET!$A$2:$J$45,SET!$B$50+2,FALSE),""))</f>
        <v/>
      </c>
      <c r="L172" s="127"/>
      <c r="M172" s="127"/>
      <c r="N172" s="127"/>
    </row>
    <row r="173" ht="30.0" customHeight="1">
      <c r="A173" s="127"/>
      <c r="B173" s="127"/>
      <c r="C173" s="127"/>
      <c r="D173" s="128"/>
      <c r="E173" s="129"/>
      <c r="F173" s="129"/>
      <c r="G173" s="129"/>
      <c r="H173" s="127"/>
      <c r="I173" s="127"/>
      <c r="J173" s="127"/>
      <c r="K173" s="127" t="str">
        <f>IF(M173="","",IFERROR(VLOOKUP(M173,SET!$A$2:$J$45,SET!$B$50+2,FALSE),""))</f>
        <v/>
      </c>
      <c r="L173" s="127"/>
      <c r="M173" s="127"/>
      <c r="N173" s="127"/>
    </row>
    <row r="174" ht="30.0" customHeight="1">
      <c r="A174" s="127"/>
      <c r="B174" s="127"/>
      <c r="C174" s="127"/>
      <c r="D174" s="128"/>
      <c r="E174" s="129"/>
      <c r="F174" s="129"/>
      <c r="G174" s="129"/>
      <c r="H174" s="127"/>
      <c r="I174" s="127"/>
      <c r="J174" s="127"/>
      <c r="K174" s="127" t="str">
        <f>IF(M174="","",IFERROR(VLOOKUP(M174,SET!$A$2:$J$45,SET!$B$50+2,FALSE),""))</f>
        <v/>
      </c>
      <c r="L174" s="127"/>
      <c r="M174" s="127"/>
      <c r="N174" s="127"/>
    </row>
    <row r="175" ht="30.0" customHeight="1">
      <c r="A175" s="127"/>
      <c r="B175" s="127"/>
      <c r="C175" s="127"/>
      <c r="D175" s="128"/>
      <c r="E175" s="129"/>
      <c r="F175" s="129"/>
      <c r="G175" s="129"/>
      <c r="H175" s="127"/>
      <c r="I175" s="127"/>
      <c r="J175" s="127"/>
      <c r="K175" s="127" t="str">
        <f>IF(M175="","",IFERROR(VLOOKUP(M175,SET!$A$2:$J$45,SET!$B$50+2,FALSE),""))</f>
        <v/>
      </c>
      <c r="L175" s="127"/>
      <c r="M175" s="127"/>
      <c r="N175" s="127"/>
    </row>
    <row r="176" ht="30.0" customHeight="1">
      <c r="A176" s="127"/>
      <c r="B176" s="127"/>
      <c r="C176" s="127"/>
      <c r="D176" s="128"/>
      <c r="E176" s="129"/>
      <c r="F176" s="129"/>
      <c r="G176" s="129"/>
      <c r="H176" s="127"/>
      <c r="I176" s="127"/>
      <c r="J176" s="127"/>
      <c r="K176" s="127" t="str">
        <f>IF(M176="","",IFERROR(VLOOKUP(M176,SET!$A$2:$J$45,SET!$B$50+2,FALSE),""))</f>
        <v/>
      </c>
      <c r="L176" s="127"/>
      <c r="M176" s="127"/>
      <c r="N176" s="127"/>
    </row>
    <row r="177" ht="30.0" customHeight="1">
      <c r="A177" s="127"/>
      <c r="B177" s="127"/>
      <c r="C177" s="127"/>
      <c r="D177" s="128"/>
      <c r="E177" s="129"/>
      <c r="F177" s="129"/>
      <c r="G177" s="129"/>
      <c r="H177" s="127"/>
      <c r="I177" s="127"/>
      <c r="J177" s="127"/>
      <c r="K177" s="127" t="str">
        <f>IF(M177="","",IFERROR(VLOOKUP(M177,SET!$A$2:$J$45,SET!$B$50+2,FALSE),""))</f>
        <v/>
      </c>
      <c r="L177" s="127"/>
      <c r="M177" s="127"/>
      <c r="N177" s="127"/>
    </row>
    <row r="178" ht="30.0" customHeight="1">
      <c r="A178" s="127"/>
      <c r="B178" s="127"/>
      <c r="C178" s="127"/>
      <c r="D178" s="128"/>
      <c r="E178" s="129"/>
      <c r="F178" s="129"/>
      <c r="G178" s="129"/>
      <c r="H178" s="127"/>
      <c r="I178" s="127"/>
      <c r="J178" s="127"/>
      <c r="K178" s="127" t="str">
        <f>IF(M178="","",IFERROR(VLOOKUP(M178,SET!$A$2:$J$45,SET!$B$50+2,FALSE),""))</f>
        <v/>
      </c>
      <c r="L178" s="127"/>
      <c r="M178" s="127"/>
      <c r="N178" s="127"/>
    </row>
    <row r="179" ht="30.0" customHeight="1">
      <c r="A179" s="127"/>
      <c r="B179" s="127"/>
      <c r="C179" s="127"/>
      <c r="D179" s="128"/>
      <c r="E179" s="129"/>
      <c r="F179" s="129"/>
      <c r="G179" s="129"/>
      <c r="H179" s="127"/>
      <c r="I179" s="127"/>
      <c r="J179" s="127"/>
      <c r="K179" s="127" t="str">
        <f>IF(M179="","",IFERROR(VLOOKUP(M179,SET!$A$2:$J$45,SET!$B$50+2,FALSE),""))</f>
        <v/>
      </c>
      <c r="L179" s="127"/>
      <c r="M179" s="127"/>
      <c r="N179" s="127"/>
    </row>
    <row r="180" ht="30.0" customHeight="1">
      <c r="A180" s="127"/>
      <c r="B180" s="127"/>
      <c r="C180" s="127"/>
      <c r="D180" s="128"/>
      <c r="E180" s="129"/>
      <c r="F180" s="129"/>
      <c r="G180" s="129"/>
      <c r="H180" s="127"/>
      <c r="I180" s="127"/>
      <c r="J180" s="127"/>
      <c r="K180" s="127" t="str">
        <f>IF(M180="","",IFERROR(VLOOKUP(M180,SET!$A$2:$J$45,SET!$B$50+2,FALSE),""))</f>
        <v/>
      </c>
      <c r="L180" s="127"/>
      <c r="M180" s="127"/>
      <c r="N180" s="127"/>
    </row>
    <row r="181" ht="30.0" customHeight="1">
      <c r="A181" s="127"/>
      <c r="B181" s="127"/>
      <c r="C181" s="127"/>
      <c r="D181" s="128"/>
      <c r="E181" s="129"/>
      <c r="F181" s="129"/>
      <c r="G181" s="129"/>
      <c r="H181" s="127"/>
      <c r="I181" s="127"/>
      <c r="J181" s="127"/>
      <c r="K181" s="127" t="str">
        <f>IF(M181="","",IFERROR(VLOOKUP(M181,SET!$A$2:$J$45,SET!$B$50+2,FALSE),""))</f>
        <v/>
      </c>
      <c r="L181" s="127"/>
      <c r="M181" s="127"/>
      <c r="N181" s="127"/>
    </row>
    <row r="182" ht="30.0" customHeight="1">
      <c r="A182" s="127"/>
      <c r="B182" s="127"/>
      <c r="C182" s="127"/>
      <c r="D182" s="128"/>
      <c r="E182" s="129"/>
      <c r="F182" s="129"/>
      <c r="G182" s="129"/>
      <c r="H182" s="127"/>
      <c r="I182" s="127"/>
      <c r="J182" s="127"/>
      <c r="K182" s="127" t="str">
        <f>IF(M182="","",IFERROR(VLOOKUP(M182,SET!$A$2:$J$45,SET!$B$50+2,FALSE),""))</f>
        <v/>
      </c>
      <c r="L182" s="127"/>
      <c r="M182" s="127"/>
      <c r="N182" s="127"/>
    </row>
    <row r="183" ht="30.0" customHeight="1">
      <c r="A183" s="127"/>
      <c r="B183" s="127"/>
      <c r="C183" s="127"/>
      <c r="D183" s="128"/>
      <c r="E183" s="129"/>
      <c r="F183" s="129"/>
      <c r="G183" s="129"/>
      <c r="H183" s="127"/>
      <c r="I183" s="127"/>
      <c r="J183" s="127"/>
      <c r="K183" s="127" t="str">
        <f>IF(M183="","",IFERROR(VLOOKUP(M183,SET!$A$2:$J$45,SET!$B$50+2,FALSE),""))</f>
        <v/>
      </c>
      <c r="L183" s="127"/>
      <c r="M183" s="127"/>
      <c r="N183" s="127"/>
    </row>
    <row r="184" ht="30.0" customHeight="1">
      <c r="A184" s="127"/>
      <c r="B184" s="127"/>
      <c r="C184" s="127"/>
      <c r="D184" s="128"/>
      <c r="E184" s="129"/>
      <c r="F184" s="129"/>
      <c r="G184" s="129"/>
      <c r="H184" s="127"/>
      <c r="I184" s="127"/>
      <c r="J184" s="127"/>
      <c r="K184" s="127" t="str">
        <f>IF(M184="","",IFERROR(VLOOKUP(M184,SET!$A$2:$J$45,SET!$B$50+2,FALSE),""))</f>
        <v/>
      </c>
      <c r="L184" s="127"/>
      <c r="M184" s="127"/>
      <c r="N184" s="127"/>
    </row>
    <row r="185" ht="30.0" customHeight="1">
      <c r="A185" s="127"/>
      <c r="B185" s="127"/>
      <c r="C185" s="127"/>
      <c r="D185" s="128"/>
      <c r="E185" s="129"/>
      <c r="F185" s="129"/>
      <c r="G185" s="129"/>
      <c r="H185" s="127"/>
      <c r="I185" s="127"/>
      <c r="J185" s="127"/>
      <c r="K185" s="127" t="str">
        <f>IF(M185="","",IFERROR(VLOOKUP(M185,SET!$A$2:$J$45,SET!$B$50+2,FALSE),""))</f>
        <v/>
      </c>
      <c r="L185" s="127"/>
      <c r="M185" s="127"/>
      <c r="N185" s="127"/>
    </row>
    <row r="186" ht="30.0" customHeight="1">
      <c r="A186" s="127"/>
      <c r="B186" s="127"/>
      <c r="C186" s="127"/>
      <c r="D186" s="128"/>
      <c r="E186" s="129"/>
      <c r="F186" s="129"/>
      <c r="G186" s="129"/>
      <c r="H186" s="127"/>
      <c r="I186" s="127"/>
      <c r="J186" s="127"/>
      <c r="K186" s="127" t="str">
        <f>IF(M186="","",IFERROR(VLOOKUP(M186,SET!$A$2:$J$45,SET!$B$50+2,FALSE),""))</f>
        <v/>
      </c>
      <c r="L186" s="127"/>
      <c r="M186" s="127"/>
      <c r="N186" s="127"/>
    </row>
    <row r="187" ht="30.0" customHeight="1">
      <c r="A187" s="127"/>
      <c r="B187" s="127"/>
      <c r="C187" s="127"/>
      <c r="D187" s="128"/>
      <c r="E187" s="129"/>
      <c r="F187" s="129"/>
      <c r="G187" s="129"/>
      <c r="H187" s="127"/>
      <c r="I187" s="127"/>
      <c r="J187" s="127"/>
      <c r="K187" s="127" t="str">
        <f>IF(M187="","",IFERROR(VLOOKUP(M187,SET!$A$2:$J$45,SET!$B$50+2,FALSE),""))</f>
        <v/>
      </c>
      <c r="L187" s="127"/>
      <c r="M187" s="127"/>
      <c r="N187" s="127"/>
    </row>
    <row r="188" ht="30.0" customHeight="1">
      <c r="A188" s="127"/>
      <c r="B188" s="127"/>
      <c r="C188" s="127"/>
      <c r="D188" s="128"/>
      <c r="E188" s="129"/>
      <c r="F188" s="129"/>
      <c r="G188" s="129"/>
      <c r="H188" s="127"/>
      <c r="I188" s="127"/>
      <c r="J188" s="127"/>
      <c r="K188" s="127" t="str">
        <f>IF(M188="","",IFERROR(VLOOKUP(M188,SET!$A$2:$J$45,SET!$B$50+2,FALSE),""))</f>
        <v/>
      </c>
      <c r="L188" s="127"/>
      <c r="M188" s="127"/>
      <c r="N188" s="127"/>
    </row>
    <row r="189" ht="30.0" customHeight="1">
      <c r="A189" s="127"/>
      <c r="B189" s="127"/>
      <c r="C189" s="127"/>
      <c r="D189" s="128"/>
      <c r="E189" s="129"/>
      <c r="F189" s="129"/>
      <c r="G189" s="129"/>
      <c r="H189" s="127"/>
      <c r="I189" s="127"/>
      <c r="J189" s="127"/>
      <c r="K189" s="127" t="str">
        <f>IF(M189="","",IFERROR(VLOOKUP(M189,SET!$A$2:$J$45,SET!$B$50+2,FALSE),""))</f>
        <v/>
      </c>
      <c r="L189" s="127"/>
      <c r="M189" s="127"/>
      <c r="N189" s="127"/>
    </row>
    <row r="190" ht="30.0" customHeight="1">
      <c r="A190" s="127"/>
      <c r="B190" s="127"/>
      <c r="C190" s="127"/>
      <c r="D190" s="128"/>
      <c r="E190" s="129"/>
      <c r="F190" s="129"/>
      <c r="G190" s="129"/>
      <c r="H190" s="127"/>
      <c r="I190" s="127"/>
      <c r="J190" s="127"/>
      <c r="K190" s="127" t="str">
        <f>IF(M190="","",IFERROR(VLOOKUP(M190,SET!$A$2:$J$45,SET!$B$50+2,FALSE),""))</f>
        <v/>
      </c>
      <c r="L190" s="127"/>
      <c r="M190" s="127"/>
      <c r="N190" s="127"/>
    </row>
    <row r="191" ht="30.0" customHeight="1">
      <c r="A191" s="127"/>
      <c r="B191" s="127"/>
      <c r="C191" s="127"/>
      <c r="D191" s="128"/>
      <c r="E191" s="129"/>
      <c r="F191" s="129"/>
      <c r="G191" s="129"/>
      <c r="H191" s="127"/>
      <c r="I191" s="127"/>
      <c r="J191" s="127"/>
      <c r="K191" s="127" t="str">
        <f>IF(M191="","",IFERROR(VLOOKUP(M191,SET!$A$2:$J$45,SET!$B$50+2,FALSE),""))</f>
        <v/>
      </c>
      <c r="L191" s="127"/>
      <c r="M191" s="127"/>
      <c r="N191" s="127"/>
    </row>
    <row r="192" ht="30.0" customHeight="1">
      <c r="A192" s="127"/>
      <c r="B192" s="127"/>
      <c r="C192" s="127"/>
      <c r="D192" s="128"/>
      <c r="E192" s="129"/>
      <c r="F192" s="129"/>
      <c r="G192" s="129"/>
      <c r="H192" s="127"/>
      <c r="I192" s="127"/>
      <c r="J192" s="127"/>
      <c r="K192" s="127" t="str">
        <f>IF(M192="","",IFERROR(VLOOKUP(M192,SET!$A$2:$J$45,SET!$B$50+2,FALSE),""))</f>
        <v/>
      </c>
      <c r="L192" s="127"/>
      <c r="M192" s="127"/>
      <c r="N192" s="127"/>
    </row>
    <row r="193" ht="30.0" customHeight="1">
      <c r="A193" s="127"/>
      <c r="B193" s="127"/>
      <c r="C193" s="127"/>
      <c r="D193" s="128"/>
      <c r="E193" s="129"/>
      <c r="F193" s="129"/>
      <c r="G193" s="129"/>
      <c r="H193" s="127"/>
      <c r="I193" s="127"/>
      <c r="J193" s="127"/>
      <c r="K193" s="127" t="str">
        <f>IF(M193="","",IFERROR(VLOOKUP(M193,SET!$A$2:$J$45,SET!$B$50+2,FALSE),""))</f>
        <v/>
      </c>
      <c r="L193" s="127"/>
      <c r="M193" s="127"/>
      <c r="N193" s="127"/>
    </row>
    <row r="194" ht="30.0" customHeight="1">
      <c r="A194" s="127"/>
      <c r="B194" s="127"/>
      <c r="C194" s="127"/>
      <c r="D194" s="128"/>
      <c r="E194" s="129"/>
      <c r="F194" s="129"/>
      <c r="G194" s="129"/>
      <c r="H194" s="127"/>
      <c r="I194" s="127"/>
      <c r="J194" s="127"/>
      <c r="K194" s="127" t="str">
        <f>IF(M194="","",IFERROR(VLOOKUP(M194,SET!$A$2:$J$45,SET!$B$50+2,FALSE),""))</f>
        <v/>
      </c>
      <c r="L194" s="127"/>
      <c r="M194" s="127"/>
      <c r="N194" s="127"/>
    </row>
    <row r="195" ht="30.0" customHeight="1">
      <c r="A195" s="127"/>
      <c r="B195" s="127"/>
      <c r="C195" s="127"/>
      <c r="D195" s="128"/>
      <c r="E195" s="129"/>
      <c r="F195" s="129"/>
      <c r="G195" s="129"/>
      <c r="H195" s="127"/>
      <c r="I195" s="127"/>
      <c r="J195" s="127"/>
      <c r="K195" s="127" t="str">
        <f>IF(M195="","",IFERROR(VLOOKUP(M195,SET!$A$2:$J$45,SET!$B$50+2,FALSE),""))</f>
        <v/>
      </c>
      <c r="L195" s="127"/>
      <c r="M195" s="127"/>
      <c r="N195" s="127"/>
    </row>
    <row r="196" ht="30.0" customHeight="1">
      <c r="A196" s="127"/>
      <c r="B196" s="127"/>
      <c r="C196" s="127"/>
      <c r="D196" s="128"/>
      <c r="E196" s="129"/>
      <c r="F196" s="129"/>
      <c r="G196" s="129"/>
      <c r="H196" s="127"/>
      <c r="I196" s="127"/>
      <c r="J196" s="127"/>
      <c r="K196" s="127" t="str">
        <f>IF(M196="","",IFERROR(VLOOKUP(M196,SET!$A$2:$J$45,SET!$B$50+2,FALSE),""))</f>
        <v/>
      </c>
      <c r="L196" s="127"/>
      <c r="M196" s="127"/>
      <c r="N196" s="127"/>
    </row>
    <row r="197" ht="30.0" customHeight="1">
      <c r="A197" s="127"/>
      <c r="B197" s="127"/>
      <c r="C197" s="127"/>
      <c r="D197" s="128"/>
      <c r="E197" s="129"/>
      <c r="F197" s="129"/>
      <c r="G197" s="129"/>
      <c r="H197" s="127"/>
      <c r="I197" s="127"/>
      <c r="J197" s="127"/>
      <c r="K197" s="127" t="str">
        <f>IF(M197="","",IFERROR(VLOOKUP(M197,SET!$A$2:$J$45,SET!$B$50+2,FALSE),""))</f>
        <v/>
      </c>
      <c r="L197" s="127"/>
      <c r="M197" s="127"/>
      <c r="N197" s="127"/>
    </row>
    <row r="198" ht="30.0" customHeight="1">
      <c r="A198" s="127"/>
      <c r="B198" s="127"/>
      <c r="C198" s="127"/>
      <c r="D198" s="128"/>
      <c r="E198" s="129"/>
      <c r="F198" s="129"/>
      <c r="G198" s="129"/>
      <c r="H198" s="127"/>
      <c r="I198" s="127"/>
      <c r="J198" s="127"/>
      <c r="K198" s="127" t="str">
        <f>IF(M198="","",IFERROR(VLOOKUP(M198,SET!$A$2:$J$45,SET!$B$50+2,FALSE),""))</f>
        <v/>
      </c>
      <c r="L198" s="127"/>
      <c r="M198" s="127"/>
      <c r="N198" s="127"/>
    </row>
    <row r="199" ht="30.0" customHeight="1">
      <c r="A199" s="127"/>
      <c r="B199" s="127"/>
      <c r="C199" s="127"/>
      <c r="D199" s="128"/>
      <c r="E199" s="129"/>
      <c r="F199" s="129"/>
      <c r="G199" s="129"/>
      <c r="H199" s="127"/>
      <c r="I199" s="127"/>
      <c r="J199" s="127"/>
      <c r="K199" s="127" t="str">
        <f>IF(M199="","",IFERROR(VLOOKUP(M199,SET!$A$2:$J$45,SET!$B$50+2,FALSE),""))</f>
        <v/>
      </c>
      <c r="L199" s="127"/>
      <c r="M199" s="127"/>
      <c r="N199" s="127"/>
    </row>
    <row r="200" ht="30.0" customHeight="1">
      <c r="A200" s="127"/>
      <c r="B200" s="127"/>
      <c r="C200" s="127"/>
      <c r="D200" s="128"/>
      <c r="E200" s="129"/>
      <c r="F200" s="129"/>
      <c r="G200" s="129"/>
      <c r="H200" s="127"/>
      <c r="I200" s="127"/>
      <c r="J200" s="127"/>
      <c r="K200" s="127" t="str">
        <f>IF(M200="","",IFERROR(VLOOKUP(M200,SET!$A$2:$J$45,SET!$B$50+2,FALSE),""))</f>
        <v/>
      </c>
      <c r="L200" s="127"/>
      <c r="M200" s="127"/>
      <c r="N200" s="127"/>
    </row>
    <row r="201" ht="30.0" customHeight="1">
      <c r="A201" s="127"/>
      <c r="B201" s="127"/>
      <c r="C201" s="127"/>
      <c r="D201" s="128"/>
      <c r="E201" s="129"/>
      <c r="F201" s="129"/>
      <c r="G201" s="129"/>
      <c r="H201" s="127"/>
      <c r="I201" s="127"/>
      <c r="J201" s="127"/>
      <c r="K201" s="127" t="str">
        <f>IF(M201="","",IFERROR(VLOOKUP(M201,SET!$A$2:$J$45,SET!$B$50+2,FALSE),""))</f>
        <v/>
      </c>
      <c r="L201" s="127"/>
      <c r="M201" s="127"/>
      <c r="N201" s="127"/>
    </row>
    <row r="202" ht="30.0" customHeight="1">
      <c r="A202" s="127"/>
      <c r="B202" s="127"/>
      <c r="C202" s="127"/>
      <c r="D202" s="128"/>
      <c r="E202" s="129"/>
      <c r="F202" s="129"/>
      <c r="G202" s="129"/>
      <c r="H202" s="127"/>
      <c r="I202" s="127"/>
      <c r="J202" s="127"/>
      <c r="K202" s="127" t="str">
        <f>IF(M202="","",IFERROR(VLOOKUP(M202,SET!$A$2:$J$45,SET!$B$50+2,FALSE),""))</f>
        <v/>
      </c>
      <c r="L202" s="127"/>
      <c r="M202" s="127"/>
      <c r="N202" s="127"/>
    </row>
    <row r="203" ht="30.0" customHeight="1">
      <c r="A203" s="127"/>
      <c r="B203" s="127"/>
      <c r="C203" s="127"/>
      <c r="D203" s="128"/>
      <c r="E203" s="129"/>
      <c r="F203" s="129"/>
      <c r="G203" s="129"/>
      <c r="H203" s="127"/>
      <c r="I203" s="127"/>
      <c r="J203" s="127"/>
      <c r="K203" s="127" t="str">
        <f>IF(M203="","",IFERROR(VLOOKUP(M203,SET!$A$2:$J$45,SET!$B$50+2,FALSE),""))</f>
        <v/>
      </c>
      <c r="L203" s="127"/>
      <c r="M203" s="127"/>
      <c r="N203" s="127"/>
    </row>
    <row r="204" ht="30.0" customHeight="1">
      <c r="A204" s="127"/>
      <c r="B204" s="127"/>
      <c r="C204" s="127"/>
      <c r="D204" s="128"/>
      <c r="E204" s="129"/>
      <c r="F204" s="129"/>
      <c r="G204" s="129"/>
      <c r="H204" s="127"/>
      <c r="I204" s="127"/>
      <c r="J204" s="127"/>
      <c r="K204" s="127" t="str">
        <f>IF(M204="","",IFERROR(VLOOKUP(M204,SET!$A$2:$J$45,SET!$B$50+2,FALSE),""))</f>
        <v/>
      </c>
      <c r="L204" s="127"/>
      <c r="M204" s="127"/>
      <c r="N204" s="127"/>
    </row>
    <row r="205" ht="30.0" customHeight="1">
      <c r="A205" s="127"/>
      <c r="B205" s="127"/>
      <c r="C205" s="127"/>
      <c r="D205" s="128"/>
      <c r="E205" s="129"/>
      <c r="F205" s="129"/>
      <c r="G205" s="129"/>
      <c r="H205" s="127"/>
      <c r="I205" s="127"/>
      <c r="J205" s="127"/>
      <c r="K205" s="127" t="str">
        <f>IF(M205="","",IFERROR(VLOOKUP(M205,SET!$A$2:$J$45,SET!$B$50+2,FALSE),""))</f>
        <v/>
      </c>
      <c r="L205" s="127"/>
      <c r="M205" s="127"/>
      <c r="N205" s="127"/>
    </row>
    <row r="206" ht="30.0" customHeight="1">
      <c r="A206" s="127"/>
      <c r="B206" s="127"/>
      <c r="C206" s="127"/>
      <c r="D206" s="128"/>
      <c r="E206" s="129"/>
      <c r="F206" s="129"/>
      <c r="G206" s="129"/>
      <c r="H206" s="127"/>
      <c r="I206" s="127"/>
      <c r="J206" s="127"/>
      <c r="K206" s="127" t="str">
        <f>IF(M206="","",IFERROR(VLOOKUP(M206,SET!$A$2:$J$45,SET!$B$50+2,FALSE),""))</f>
        <v/>
      </c>
      <c r="L206" s="127"/>
      <c r="M206" s="127"/>
      <c r="N206" s="127"/>
    </row>
    <row r="207" ht="30.0" customHeight="1">
      <c r="A207" s="127"/>
      <c r="B207" s="127"/>
      <c r="C207" s="127"/>
      <c r="D207" s="128"/>
      <c r="E207" s="129"/>
      <c r="F207" s="129"/>
      <c r="G207" s="129"/>
      <c r="H207" s="127"/>
      <c r="I207" s="127"/>
      <c r="J207" s="127"/>
      <c r="K207" s="127" t="str">
        <f>IF(M207="","",IFERROR(VLOOKUP(M207,SET!$A$2:$J$45,SET!$B$50+2,FALSE),""))</f>
        <v/>
      </c>
      <c r="L207" s="127"/>
      <c r="M207" s="127"/>
      <c r="N207" s="127"/>
    </row>
    <row r="208" ht="30.0" customHeight="1">
      <c r="A208" s="127"/>
      <c r="B208" s="127"/>
      <c r="C208" s="127"/>
      <c r="D208" s="128"/>
      <c r="E208" s="129"/>
      <c r="F208" s="129"/>
      <c r="G208" s="129"/>
      <c r="H208" s="127"/>
      <c r="I208" s="127"/>
      <c r="J208" s="127"/>
      <c r="K208" s="127" t="str">
        <f>IF(M208="","",IFERROR(VLOOKUP(M208,SET!$A$2:$J$45,SET!$B$50+2,FALSE),""))</f>
        <v/>
      </c>
      <c r="L208" s="127"/>
      <c r="M208" s="127"/>
      <c r="N208" s="127"/>
    </row>
    <row r="209" ht="30.0" customHeight="1">
      <c r="A209" s="127"/>
      <c r="B209" s="127"/>
      <c r="C209" s="127"/>
      <c r="D209" s="128"/>
      <c r="E209" s="129"/>
      <c r="F209" s="129"/>
      <c r="G209" s="129"/>
      <c r="H209" s="127"/>
      <c r="I209" s="127"/>
      <c r="J209" s="127"/>
      <c r="K209" s="127" t="str">
        <f>IF(M209="","",IFERROR(VLOOKUP(M209,SET!$A$2:$J$45,SET!$B$50+2,FALSE),""))</f>
        <v/>
      </c>
      <c r="L209" s="127"/>
      <c r="M209" s="127"/>
      <c r="N209" s="127"/>
    </row>
    <row r="210" ht="30.0" customHeight="1">
      <c r="A210" s="127"/>
      <c r="B210" s="127"/>
      <c r="C210" s="127"/>
      <c r="D210" s="128"/>
      <c r="E210" s="129"/>
      <c r="F210" s="129"/>
      <c r="G210" s="129"/>
      <c r="H210" s="127"/>
      <c r="I210" s="127"/>
      <c r="J210" s="127"/>
      <c r="K210" s="127" t="str">
        <f>IF(M210="","",IFERROR(VLOOKUP(M210,SET!$A$2:$J$45,SET!$B$50+2,FALSE),""))</f>
        <v/>
      </c>
      <c r="L210" s="127"/>
      <c r="M210" s="127"/>
      <c r="N210" s="127"/>
    </row>
    <row r="211" ht="30.0" customHeight="1">
      <c r="A211" s="127"/>
      <c r="B211" s="127"/>
      <c r="C211" s="127"/>
      <c r="D211" s="128"/>
      <c r="E211" s="129"/>
      <c r="F211" s="129"/>
      <c r="G211" s="129"/>
      <c r="H211" s="127"/>
      <c r="I211" s="127"/>
      <c r="J211" s="127"/>
      <c r="K211" s="127" t="str">
        <f>IF(M211="","",IFERROR(VLOOKUP(M211,SET!$A$2:$J$45,SET!$B$50+2,FALSE),""))</f>
        <v/>
      </c>
      <c r="L211" s="127"/>
      <c r="M211" s="127"/>
      <c r="N211" s="127"/>
    </row>
    <row r="212" ht="30.0" customHeight="1">
      <c r="A212" s="127"/>
      <c r="B212" s="127"/>
      <c r="C212" s="127"/>
      <c r="D212" s="128"/>
      <c r="E212" s="129"/>
      <c r="F212" s="129"/>
      <c r="G212" s="129"/>
      <c r="H212" s="127"/>
      <c r="I212" s="127"/>
      <c r="J212" s="127"/>
      <c r="K212" s="127" t="str">
        <f>IF(M212="","",IFERROR(VLOOKUP(M212,SET!$A$2:$J$45,SET!$B$50+2,FALSE),""))</f>
        <v/>
      </c>
      <c r="L212" s="127"/>
      <c r="M212" s="127"/>
      <c r="N212" s="127"/>
    </row>
    <row r="213" ht="30.0" customHeight="1">
      <c r="A213" s="127"/>
      <c r="B213" s="127"/>
      <c r="C213" s="127"/>
      <c r="D213" s="128"/>
      <c r="E213" s="129"/>
      <c r="F213" s="129"/>
      <c r="G213" s="129"/>
      <c r="H213" s="127"/>
      <c r="I213" s="127"/>
      <c r="J213" s="127"/>
      <c r="K213" s="127" t="str">
        <f>IF(M213="","",IFERROR(VLOOKUP(M213,SET!$A$2:$J$45,SET!$B$50+2,FALSE),""))</f>
        <v/>
      </c>
      <c r="L213" s="127"/>
      <c r="M213" s="127"/>
      <c r="N213" s="127"/>
    </row>
    <row r="214" ht="30.0" customHeight="1">
      <c r="A214" s="127"/>
      <c r="B214" s="127"/>
      <c r="C214" s="127"/>
      <c r="D214" s="128"/>
      <c r="E214" s="129"/>
      <c r="F214" s="129"/>
      <c r="G214" s="129"/>
      <c r="H214" s="127"/>
      <c r="I214" s="127"/>
      <c r="J214" s="127"/>
      <c r="K214" s="127" t="str">
        <f>IF(M214="","",IFERROR(VLOOKUP(M214,SET!$A$2:$J$45,SET!$B$50+2,FALSE),""))</f>
        <v/>
      </c>
      <c r="L214" s="127"/>
      <c r="M214" s="127"/>
      <c r="N214" s="127"/>
    </row>
    <row r="215" ht="30.0" customHeight="1">
      <c r="A215" s="127"/>
      <c r="B215" s="127"/>
      <c r="C215" s="127"/>
      <c r="D215" s="128"/>
      <c r="E215" s="129"/>
      <c r="F215" s="129"/>
      <c r="G215" s="129"/>
      <c r="H215" s="127"/>
      <c r="I215" s="127"/>
      <c r="J215" s="127"/>
      <c r="K215" s="127" t="str">
        <f>IF(M215="","",IFERROR(VLOOKUP(M215,SET!$A$2:$J$45,SET!$B$50+2,FALSE),""))</f>
        <v/>
      </c>
      <c r="L215" s="127"/>
      <c r="M215" s="127"/>
      <c r="N215" s="127"/>
    </row>
    <row r="216" ht="30.0" customHeight="1">
      <c r="A216" s="127"/>
      <c r="B216" s="127"/>
      <c r="C216" s="127"/>
      <c r="D216" s="128"/>
      <c r="E216" s="129"/>
      <c r="F216" s="129"/>
      <c r="G216" s="129"/>
      <c r="H216" s="127"/>
      <c r="I216" s="127"/>
      <c r="J216" s="127"/>
      <c r="K216" s="127" t="str">
        <f>IF(M216="","",IFERROR(VLOOKUP(M216,SET!$A$2:$J$45,SET!$B$50+2,FALSE),""))</f>
        <v/>
      </c>
      <c r="L216" s="127"/>
      <c r="M216" s="127"/>
      <c r="N216" s="127"/>
    </row>
    <row r="217" ht="30.0" customHeight="1">
      <c r="A217" s="127"/>
      <c r="B217" s="127"/>
      <c r="C217" s="127"/>
      <c r="D217" s="128"/>
      <c r="E217" s="129"/>
      <c r="F217" s="129"/>
      <c r="G217" s="129"/>
      <c r="H217" s="127"/>
      <c r="I217" s="127"/>
      <c r="J217" s="127"/>
      <c r="K217" s="127" t="str">
        <f>IF(M217="","",IFERROR(VLOOKUP(M217,SET!$A$2:$J$45,SET!$B$50+2,FALSE),""))</f>
        <v/>
      </c>
      <c r="L217" s="127"/>
      <c r="M217" s="127"/>
      <c r="N217" s="127"/>
    </row>
    <row r="218" ht="30.0" customHeight="1">
      <c r="A218" s="127"/>
      <c r="B218" s="127"/>
      <c r="C218" s="127"/>
      <c r="D218" s="128"/>
      <c r="E218" s="129"/>
      <c r="F218" s="129"/>
      <c r="G218" s="129"/>
      <c r="H218" s="127"/>
      <c r="I218" s="127"/>
      <c r="J218" s="127"/>
      <c r="K218" s="127" t="str">
        <f>IF(M218="","",IFERROR(VLOOKUP(M218,SET!$A$2:$J$45,SET!$B$50+2,FALSE),""))</f>
        <v/>
      </c>
      <c r="L218" s="127"/>
      <c r="M218" s="127"/>
      <c r="N218" s="127"/>
    </row>
    <row r="219" ht="30.0" customHeight="1">
      <c r="A219" s="127"/>
      <c r="B219" s="127"/>
      <c r="C219" s="127"/>
      <c r="D219" s="128"/>
      <c r="E219" s="129"/>
      <c r="F219" s="129"/>
      <c r="G219" s="129"/>
      <c r="H219" s="127"/>
      <c r="I219" s="127"/>
      <c r="J219" s="127"/>
      <c r="K219" s="127" t="str">
        <f>IF(M219="","",IFERROR(VLOOKUP(M219,SET!$A$2:$J$45,SET!$B$50+2,FALSE),""))</f>
        <v/>
      </c>
      <c r="L219" s="127"/>
      <c r="M219" s="127"/>
      <c r="N219" s="127"/>
    </row>
    <row r="220" ht="30.0" customHeight="1">
      <c r="A220" s="127"/>
      <c r="B220" s="127"/>
      <c r="C220" s="127"/>
      <c r="D220" s="128"/>
      <c r="E220" s="129"/>
      <c r="F220" s="129"/>
      <c r="G220" s="129"/>
      <c r="H220" s="127"/>
      <c r="I220" s="127"/>
      <c r="J220" s="127"/>
      <c r="K220" s="127" t="str">
        <f>IF(M220="","",IFERROR(VLOOKUP(M220,SET!$A$2:$J$45,SET!$B$50+2,FALSE),""))</f>
        <v/>
      </c>
      <c r="L220" s="127"/>
      <c r="M220" s="127"/>
      <c r="N220" s="127"/>
    </row>
    <row r="221" ht="30.0" customHeight="1">
      <c r="A221" s="127"/>
      <c r="B221" s="127"/>
      <c r="C221" s="127"/>
      <c r="D221" s="128"/>
      <c r="E221" s="129"/>
      <c r="F221" s="129"/>
      <c r="G221" s="129"/>
      <c r="H221" s="127"/>
      <c r="I221" s="127"/>
      <c r="J221" s="127"/>
      <c r="K221" s="127" t="str">
        <f>IF(M221="","",IFERROR(VLOOKUP(M221,SET!$A$2:$J$45,SET!$B$50+2,FALSE),""))</f>
        <v/>
      </c>
      <c r="L221" s="127"/>
      <c r="M221" s="127"/>
      <c r="N221" s="127"/>
    </row>
    <row r="222" ht="30.0" customHeight="1">
      <c r="A222" s="127"/>
      <c r="B222" s="127"/>
      <c r="C222" s="127"/>
      <c r="D222" s="128"/>
      <c r="E222" s="129"/>
      <c r="F222" s="129"/>
      <c r="G222" s="129"/>
      <c r="H222" s="127"/>
      <c r="I222" s="127"/>
      <c r="J222" s="127"/>
      <c r="K222" s="127" t="str">
        <f>IF(M222="","",IFERROR(VLOOKUP(M222,SET!$A$2:$J$45,SET!$B$50+2,FALSE),""))</f>
        <v/>
      </c>
      <c r="L222" s="127"/>
      <c r="M222" s="127"/>
      <c r="N222" s="127"/>
    </row>
    <row r="223" ht="30.0" customHeight="1">
      <c r="A223" s="127"/>
      <c r="B223" s="127"/>
      <c r="C223" s="127"/>
      <c r="D223" s="128"/>
      <c r="E223" s="129"/>
      <c r="F223" s="129"/>
      <c r="G223" s="129"/>
      <c r="H223" s="127"/>
      <c r="I223" s="127"/>
      <c r="J223" s="127"/>
      <c r="K223" s="127" t="str">
        <f>IF(M223="","",IFERROR(VLOOKUP(M223,SET!$A$2:$J$45,SET!$B$50+2,FALSE),""))</f>
        <v/>
      </c>
      <c r="L223" s="127"/>
      <c r="M223" s="127"/>
      <c r="N223" s="127"/>
    </row>
    <row r="224" ht="30.0" customHeight="1">
      <c r="A224" s="127"/>
      <c r="B224" s="127"/>
      <c r="C224" s="127"/>
      <c r="D224" s="128"/>
      <c r="E224" s="129"/>
      <c r="F224" s="129"/>
      <c r="G224" s="129"/>
      <c r="H224" s="127"/>
      <c r="I224" s="127"/>
      <c r="J224" s="127"/>
      <c r="K224" s="127" t="str">
        <f>IF(M224="","",IFERROR(VLOOKUP(M224,SET!$A$2:$J$45,SET!$B$50+2,FALSE),""))</f>
        <v/>
      </c>
      <c r="L224" s="127"/>
      <c r="M224" s="127"/>
      <c r="N224" s="127"/>
    </row>
    <row r="225" ht="30.0" customHeight="1">
      <c r="A225" s="127"/>
      <c r="B225" s="127"/>
      <c r="C225" s="127"/>
      <c r="D225" s="128"/>
      <c r="E225" s="129"/>
      <c r="F225" s="129"/>
      <c r="G225" s="129"/>
      <c r="H225" s="127"/>
      <c r="I225" s="127"/>
      <c r="J225" s="127"/>
      <c r="K225" s="127" t="str">
        <f>IF(M225="","",IFERROR(VLOOKUP(M225,SET!$A$2:$J$45,SET!$B$50+2,FALSE),""))</f>
        <v/>
      </c>
      <c r="L225" s="127"/>
      <c r="M225" s="127"/>
      <c r="N225" s="127"/>
    </row>
    <row r="226" ht="30.0" customHeight="1">
      <c r="A226" s="127"/>
      <c r="B226" s="127"/>
      <c r="C226" s="127"/>
      <c r="D226" s="128"/>
      <c r="E226" s="129"/>
      <c r="F226" s="129"/>
      <c r="G226" s="129"/>
      <c r="H226" s="127"/>
      <c r="I226" s="127"/>
      <c r="J226" s="127"/>
      <c r="K226" s="127" t="str">
        <f>IF(M226="","",IFERROR(VLOOKUP(M226,SET!$A$2:$J$45,SET!$B$50+2,FALSE),""))</f>
        <v/>
      </c>
      <c r="L226" s="127"/>
      <c r="M226" s="127"/>
      <c r="N226" s="127"/>
    </row>
    <row r="227" ht="30.0" customHeight="1">
      <c r="A227" s="127"/>
      <c r="B227" s="127"/>
      <c r="C227" s="127"/>
      <c r="D227" s="128"/>
      <c r="E227" s="129"/>
      <c r="F227" s="129"/>
      <c r="G227" s="129"/>
      <c r="H227" s="127"/>
      <c r="I227" s="127"/>
      <c r="J227" s="127"/>
      <c r="K227" s="127" t="str">
        <f>IF(M227="","",IFERROR(VLOOKUP(M227,SET!$A$2:$J$45,SET!$B$50+2,FALSE),""))</f>
        <v/>
      </c>
      <c r="L227" s="127"/>
      <c r="M227" s="127"/>
      <c r="N227" s="127"/>
    </row>
    <row r="228" ht="30.0" customHeight="1">
      <c r="A228" s="127"/>
      <c r="B228" s="127"/>
      <c r="C228" s="127"/>
      <c r="D228" s="128"/>
      <c r="E228" s="129"/>
      <c r="F228" s="129"/>
      <c r="G228" s="129"/>
      <c r="H228" s="127"/>
      <c r="I228" s="127"/>
      <c r="J228" s="127"/>
      <c r="K228" s="127" t="str">
        <f>IF(M228="","",IFERROR(VLOOKUP(M228,SET!$A$2:$J$45,SET!$B$50+2,FALSE),""))</f>
        <v/>
      </c>
      <c r="L228" s="127"/>
      <c r="M228" s="127"/>
      <c r="N228" s="127"/>
    </row>
    <row r="229" ht="30.0" customHeight="1">
      <c r="A229" s="127"/>
      <c r="B229" s="127"/>
      <c r="C229" s="127"/>
      <c r="D229" s="128"/>
      <c r="E229" s="129"/>
      <c r="F229" s="129"/>
      <c r="G229" s="129"/>
      <c r="H229" s="127"/>
      <c r="I229" s="127"/>
      <c r="J229" s="127"/>
      <c r="K229" s="127" t="str">
        <f>IF(M229="","",IFERROR(VLOOKUP(M229,SET!$A$2:$J$45,SET!$B$50+2,FALSE),""))</f>
        <v/>
      </c>
      <c r="L229" s="127"/>
      <c r="M229" s="127"/>
      <c r="N229" s="127"/>
    </row>
    <row r="230" ht="30.0" customHeight="1">
      <c r="A230" s="127"/>
      <c r="B230" s="127"/>
      <c r="C230" s="127"/>
      <c r="D230" s="128"/>
      <c r="E230" s="129"/>
      <c r="F230" s="129"/>
      <c r="G230" s="129"/>
      <c r="H230" s="127"/>
      <c r="I230" s="127"/>
      <c r="J230" s="127"/>
      <c r="K230" s="127" t="str">
        <f>IF(M230="","",IFERROR(VLOOKUP(M230,SET!$A$2:$J$45,SET!$B$50+2,FALSE),""))</f>
        <v/>
      </c>
      <c r="L230" s="127"/>
      <c r="M230" s="127"/>
      <c r="N230" s="127"/>
    </row>
    <row r="231" ht="30.0" customHeight="1">
      <c r="A231" s="127"/>
      <c r="B231" s="127"/>
      <c r="C231" s="127"/>
      <c r="D231" s="128"/>
      <c r="E231" s="129"/>
      <c r="F231" s="129"/>
      <c r="G231" s="129"/>
      <c r="H231" s="127"/>
      <c r="I231" s="127"/>
      <c r="J231" s="127"/>
      <c r="K231" s="127" t="str">
        <f>IF(M231="","",IFERROR(VLOOKUP(M231,SET!$A$2:$J$45,SET!$B$50+2,FALSE),""))</f>
        <v/>
      </c>
      <c r="L231" s="127"/>
      <c r="M231" s="127"/>
      <c r="N231" s="127"/>
    </row>
    <row r="232" ht="30.0" customHeight="1">
      <c r="A232" s="127"/>
      <c r="B232" s="127"/>
      <c r="C232" s="127"/>
      <c r="D232" s="128"/>
      <c r="E232" s="129"/>
      <c r="F232" s="129"/>
      <c r="G232" s="129"/>
      <c r="H232" s="127"/>
      <c r="I232" s="127"/>
      <c r="J232" s="127"/>
      <c r="K232" s="127" t="str">
        <f>IF(M232="","",IFERROR(VLOOKUP(M232,SET!$A$2:$J$45,SET!$B$50+2,FALSE),""))</f>
        <v/>
      </c>
      <c r="L232" s="127"/>
      <c r="M232" s="127"/>
      <c r="N232" s="127"/>
    </row>
    <row r="233" ht="30.0" customHeight="1">
      <c r="A233" s="127"/>
      <c r="B233" s="127"/>
      <c r="C233" s="127"/>
      <c r="D233" s="128"/>
      <c r="E233" s="129"/>
      <c r="F233" s="129"/>
      <c r="G233" s="129"/>
      <c r="H233" s="127"/>
      <c r="I233" s="127"/>
      <c r="J233" s="127"/>
      <c r="K233" s="127" t="str">
        <f>IF(M233="","",IFERROR(VLOOKUP(M233,SET!$A$2:$J$45,SET!$B$50+2,FALSE),""))</f>
        <v/>
      </c>
      <c r="L233" s="127"/>
      <c r="M233" s="127"/>
      <c r="N233" s="127"/>
    </row>
    <row r="234" ht="30.0" customHeight="1">
      <c r="A234" s="127"/>
      <c r="B234" s="127"/>
      <c r="C234" s="127"/>
      <c r="D234" s="128"/>
      <c r="E234" s="129"/>
      <c r="F234" s="129"/>
      <c r="G234" s="129"/>
      <c r="H234" s="127"/>
      <c r="I234" s="127"/>
      <c r="J234" s="127"/>
      <c r="K234" s="127" t="str">
        <f>IF(M234="","",IFERROR(VLOOKUP(M234,SET!$A$2:$J$45,SET!$B$50+2,FALSE),""))</f>
        <v/>
      </c>
      <c r="L234" s="127"/>
      <c r="M234" s="127"/>
      <c r="N234" s="127"/>
    </row>
    <row r="235" ht="30.0" customHeight="1">
      <c r="A235" s="127"/>
      <c r="B235" s="127"/>
      <c r="C235" s="127"/>
      <c r="D235" s="128"/>
      <c r="E235" s="129"/>
      <c r="F235" s="129"/>
      <c r="G235" s="129"/>
      <c r="H235" s="127"/>
      <c r="I235" s="127"/>
      <c r="J235" s="127"/>
      <c r="K235" s="127" t="str">
        <f>IF(M235="","",IFERROR(VLOOKUP(M235,SET!$A$2:$J$45,SET!$B$50+2,FALSE),""))</f>
        <v/>
      </c>
      <c r="L235" s="127"/>
      <c r="M235" s="127"/>
      <c r="N235" s="127"/>
    </row>
    <row r="236" ht="30.0" customHeight="1">
      <c r="A236" s="127"/>
      <c r="B236" s="127"/>
      <c r="C236" s="127"/>
      <c r="D236" s="128"/>
      <c r="E236" s="129"/>
      <c r="F236" s="129"/>
      <c r="G236" s="129"/>
      <c r="H236" s="127"/>
      <c r="I236" s="127"/>
      <c r="J236" s="127"/>
      <c r="K236" s="127" t="str">
        <f>IF(M236="","",IFERROR(VLOOKUP(M236,SET!$A$2:$J$45,SET!$B$50+2,FALSE),""))</f>
        <v/>
      </c>
      <c r="L236" s="127"/>
      <c r="M236" s="127"/>
      <c r="N236" s="127"/>
    </row>
    <row r="237" ht="30.0" customHeight="1">
      <c r="A237" s="127"/>
      <c r="B237" s="127"/>
      <c r="C237" s="127"/>
      <c r="D237" s="128"/>
      <c r="E237" s="129"/>
      <c r="F237" s="129"/>
      <c r="G237" s="129"/>
      <c r="H237" s="127"/>
      <c r="I237" s="127"/>
      <c r="J237" s="127"/>
      <c r="K237" s="127" t="str">
        <f>IF(M237="","",IFERROR(VLOOKUP(M237,SET!$A$2:$J$45,SET!$B$50+2,FALSE),""))</f>
        <v/>
      </c>
      <c r="L237" s="127"/>
      <c r="M237" s="127"/>
      <c r="N237" s="127"/>
    </row>
    <row r="238" ht="30.0" customHeight="1">
      <c r="A238" s="127"/>
      <c r="B238" s="127"/>
      <c r="C238" s="127"/>
      <c r="D238" s="128"/>
      <c r="E238" s="129"/>
      <c r="F238" s="129"/>
      <c r="G238" s="129"/>
      <c r="H238" s="127"/>
      <c r="I238" s="127"/>
      <c r="J238" s="127"/>
      <c r="K238" s="127" t="str">
        <f>IF(M238="","",IFERROR(VLOOKUP(M238,SET!$A$2:$J$45,SET!$B$50+2,FALSE),""))</f>
        <v/>
      </c>
      <c r="L238" s="127"/>
      <c r="M238" s="127"/>
      <c r="N238" s="127"/>
    </row>
    <row r="239" ht="30.0" customHeight="1">
      <c r="A239" s="127"/>
      <c r="B239" s="127"/>
      <c r="C239" s="127"/>
      <c r="D239" s="128"/>
      <c r="E239" s="129"/>
      <c r="F239" s="129"/>
      <c r="G239" s="129"/>
      <c r="H239" s="127"/>
      <c r="I239" s="127"/>
      <c r="J239" s="127"/>
      <c r="K239" s="127" t="str">
        <f>IF(M239="","",IFERROR(VLOOKUP(M239,SET!$A$2:$J$45,SET!$B$50+2,FALSE),""))</f>
        <v/>
      </c>
      <c r="L239" s="127"/>
      <c r="M239" s="127"/>
      <c r="N239" s="127"/>
    </row>
    <row r="240" ht="30.0" customHeight="1">
      <c r="A240" s="127"/>
      <c r="B240" s="127"/>
      <c r="C240" s="127"/>
      <c r="D240" s="128"/>
      <c r="E240" s="129"/>
      <c r="F240" s="129"/>
      <c r="G240" s="129"/>
      <c r="H240" s="127"/>
      <c r="I240" s="127"/>
      <c r="J240" s="127"/>
      <c r="K240" s="127" t="str">
        <f>IF(M240="","",IFERROR(VLOOKUP(M240,SET!$A$2:$J$45,SET!$B$50+2,FALSE),""))</f>
        <v/>
      </c>
      <c r="L240" s="127"/>
      <c r="M240" s="127"/>
      <c r="N240" s="127"/>
    </row>
    <row r="241" ht="30.0" customHeight="1">
      <c r="A241" s="127"/>
      <c r="B241" s="127"/>
      <c r="C241" s="127"/>
      <c r="D241" s="128"/>
      <c r="E241" s="129"/>
      <c r="F241" s="129"/>
      <c r="G241" s="129"/>
      <c r="H241" s="127"/>
      <c r="I241" s="127"/>
      <c r="J241" s="127"/>
      <c r="K241" s="127" t="str">
        <f>IF(M241="","",IFERROR(VLOOKUP(M241,SET!$A$2:$J$45,SET!$B$50+2,FALSE),""))</f>
        <v/>
      </c>
      <c r="L241" s="127"/>
      <c r="M241" s="127"/>
      <c r="N241" s="127"/>
    </row>
    <row r="242" ht="30.0" customHeight="1">
      <c r="A242" s="127"/>
      <c r="B242" s="127"/>
      <c r="C242" s="127"/>
      <c r="D242" s="128"/>
      <c r="E242" s="129"/>
      <c r="F242" s="129"/>
      <c r="G242" s="129"/>
      <c r="H242" s="127"/>
      <c r="I242" s="127"/>
      <c r="J242" s="127"/>
      <c r="K242" s="127" t="str">
        <f>IF(M242="","",IFERROR(VLOOKUP(M242,SET!$A$2:$J$45,SET!$B$50+2,FALSE),""))</f>
        <v/>
      </c>
      <c r="L242" s="127"/>
      <c r="M242" s="127"/>
      <c r="N242" s="127"/>
    </row>
    <row r="243" ht="30.0" customHeight="1">
      <c r="A243" s="127"/>
      <c r="B243" s="127"/>
      <c r="C243" s="127"/>
      <c r="D243" s="128"/>
      <c r="E243" s="129"/>
      <c r="F243" s="129"/>
      <c r="G243" s="129"/>
      <c r="H243" s="127"/>
      <c r="I243" s="127"/>
      <c r="J243" s="127"/>
      <c r="K243" s="127" t="str">
        <f>IF(M243="","",IFERROR(VLOOKUP(M243,SET!$A$2:$J$45,SET!$B$50+2,FALSE),""))</f>
        <v/>
      </c>
      <c r="L243" s="127"/>
      <c r="M243" s="127"/>
      <c r="N243" s="127"/>
    </row>
    <row r="244" ht="30.0" customHeight="1">
      <c r="A244" s="127"/>
      <c r="B244" s="127"/>
      <c r="C244" s="127"/>
      <c r="D244" s="128"/>
      <c r="E244" s="129"/>
      <c r="F244" s="129"/>
      <c r="G244" s="129"/>
      <c r="H244" s="127"/>
      <c r="I244" s="127"/>
      <c r="J244" s="127"/>
      <c r="K244" s="127" t="str">
        <f>IF(M244="","",IFERROR(VLOOKUP(M244,SET!$A$2:$J$45,SET!$B$50+2,FALSE),""))</f>
        <v/>
      </c>
      <c r="L244" s="127"/>
      <c r="M244" s="127"/>
      <c r="N244" s="127"/>
    </row>
    <row r="245" ht="30.0" customHeight="1">
      <c r="A245" s="127"/>
      <c r="B245" s="127"/>
      <c r="C245" s="127"/>
      <c r="D245" s="128"/>
      <c r="E245" s="129"/>
      <c r="F245" s="129"/>
      <c r="G245" s="129"/>
      <c r="H245" s="127"/>
      <c r="I245" s="127"/>
      <c r="J245" s="127"/>
      <c r="K245" s="127" t="str">
        <f>IF(M245="","",IFERROR(VLOOKUP(M245,SET!$A$2:$J$45,SET!$B$50+2,FALSE),""))</f>
        <v/>
      </c>
      <c r="L245" s="127"/>
      <c r="M245" s="127"/>
      <c r="N245" s="127"/>
    </row>
    <row r="246" ht="30.0" customHeight="1">
      <c r="A246" s="127"/>
      <c r="B246" s="127"/>
      <c r="C246" s="127"/>
      <c r="D246" s="128"/>
      <c r="E246" s="129"/>
      <c r="F246" s="129"/>
      <c r="G246" s="129"/>
      <c r="H246" s="127"/>
      <c r="I246" s="127"/>
      <c r="J246" s="127"/>
      <c r="K246" s="127" t="str">
        <f>IF(M246="","",IFERROR(VLOOKUP(M246,SET!$A$2:$J$45,SET!$B$50+2,FALSE),""))</f>
        <v/>
      </c>
      <c r="L246" s="127"/>
      <c r="M246" s="127"/>
      <c r="N246" s="127"/>
    </row>
    <row r="247" ht="30.0" customHeight="1">
      <c r="A247" s="127"/>
      <c r="B247" s="127"/>
      <c r="C247" s="127"/>
      <c r="D247" s="128"/>
      <c r="E247" s="129"/>
      <c r="F247" s="129"/>
      <c r="G247" s="129"/>
      <c r="H247" s="127"/>
      <c r="I247" s="127"/>
      <c r="J247" s="127"/>
      <c r="K247" s="127" t="str">
        <f>IF(M247="","",IFERROR(VLOOKUP(M247,SET!$A$2:$J$45,SET!$B$50+2,FALSE),""))</f>
        <v/>
      </c>
      <c r="L247" s="127"/>
      <c r="M247" s="127"/>
      <c r="N247" s="127"/>
    </row>
    <row r="248" ht="30.0" customHeight="1">
      <c r="A248" s="127"/>
      <c r="B248" s="127"/>
      <c r="C248" s="127"/>
      <c r="D248" s="128"/>
      <c r="E248" s="129"/>
      <c r="F248" s="129"/>
      <c r="G248" s="129"/>
      <c r="H248" s="127"/>
      <c r="I248" s="127"/>
      <c r="J248" s="127"/>
      <c r="K248" s="127" t="str">
        <f>IF(M248="","",IFERROR(VLOOKUP(M248,SET!$A$2:$J$45,SET!$B$50+2,FALSE),""))</f>
        <v/>
      </c>
      <c r="L248" s="127"/>
      <c r="M248" s="127"/>
      <c r="N248" s="127"/>
    </row>
    <row r="249" ht="30.0" customHeight="1">
      <c r="A249" s="127"/>
      <c r="B249" s="127"/>
      <c r="C249" s="127"/>
      <c r="D249" s="128"/>
      <c r="E249" s="129"/>
      <c r="F249" s="129"/>
      <c r="G249" s="129"/>
      <c r="H249" s="127"/>
      <c r="I249" s="127"/>
      <c r="J249" s="127"/>
      <c r="K249" s="127" t="str">
        <f>IF(M249="","",IFERROR(VLOOKUP(M249,SET!$A$2:$J$45,SET!$B$50+2,FALSE),""))</f>
        <v/>
      </c>
      <c r="L249" s="127"/>
      <c r="M249" s="127"/>
      <c r="N249" s="127"/>
    </row>
    <row r="250" ht="30.0" customHeight="1">
      <c r="A250" s="127"/>
      <c r="B250" s="127"/>
      <c r="C250" s="127"/>
      <c r="D250" s="128"/>
      <c r="E250" s="129"/>
      <c r="F250" s="129"/>
      <c r="G250" s="129"/>
      <c r="H250" s="127"/>
      <c r="I250" s="127"/>
      <c r="J250" s="127"/>
      <c r="K250" s="127" t="str">
        <f>IF(M250="","",IFERROR(VLOOKUP(M250,SET!$A$2:$J$45,SET!$B$50+2,FALSE),""))</f>
        <v/>
      </c>
      <c r="L250" s="127"/>
      <c r="M250" s="127"/>
      <c r="N250" s="127"/>
    </row>
    <row r="251" ht="30.0" customHeight="1">
      <c r="A251" s="127"/>
      <c r="B251" s="127"/>
      <c r="C251" s="127"/>
      <c r="D251" s="128"/>
      <c r="E251" s="129"/>
      <c r="F251" s="129"/>
      <c r="G251" s="129"/>
      <c r="H251" s="127"/>
      <c r="I251" s="127"/>
      <c r="J251" s="127"/>
      <c r="K251" s="127" t="str">
        <f>IF(M251="","",IFERROR(VLOOKUP(M251,SET!$A$2:$J$45,SET!$B$50+2,FALSE),""))</f>
        <v/>
      </c>
      <c r="L251" s="127"/>
      <c r="M251" s="127"/>
      <c r="N251" s="127"/>
    </row>
    <row r="252" ht="30.0" customHeight="1">
      <c r="A252" s="127"/>
      <c r="B252" s="127"/>
      <c r="C252" s="127"/>
      <c r="D252" s="128"/>
      <c r="E252" s="129"/>
      <c r="F252" s="129"/>
      <c r="G252" s="129"/>
      <c r="H252" s="127"/>
      <c r="I252" s="127"/>
      <c r="J252" s="127"/>
      <c r="K252" s="127" t="str">
        <f>IF(M252="","",IFERROR(VLOOKUP(M252,SET!$A$2:$J$45,SET!$B$50+2,FALSE),""))</f>
        <v/>
      </c>
      <c r="L252" s="127"/>
      <c r="M252" s="127"/>
      <c r="N252" s="127"/>
    </row>
    <row r="253" ht="30.0" customHeight="1">
      <c r="A253" s="127"/>
      <c r="B253" s="127"/>
      <c r="C253" s="127"/>
      <c r="D253" s="128"/>
      <c r="E253" s="129"/>
      <c r="F253" s="129"/>
      <c r="G253" s="129"/>
      <c r="H253" s="127"/>
      <c r="I253" s="127"/>
      <c r="J253" s="127"/>
      <c r="K253" s="127" t="str">
        <f>IF(M253="","",IFERROR(VLOOKUP(M253,SET!$A$2:$J$45,SET!$B$50+2,FALSE),""))</f>
        <v/>
      </c>
      <c r="L253" s="127"/>
      <c r="M253" s="127"/>
      <c r="N253" s="127"/>
    </row>
    <row r="254" ht="30.0" customHeight="1">
      <c r="A254" s="127"/>
      <c r="B254" s="127"/>
      <c r="C254" s="127"/>
      <c r="D254" s="128"/>
      <c r="E254" s="129"/>
      <c r="F254" s="129"/>
      <c r="G254" s="129"/>
      <c r="H254" s="127"/>
      <c r="I254" s="127"/>
      <c r="J254" s="127"/>
      <c r="K254" s="127" t="str">
        <f>IF(M254="","",IFERROR(VLOOKUP(M254,SET!$A$2:$J$45,SET!$B$50+2,FALSE),""))</f>
        <v/>
      </c>
      <c r="L254" s="127"/>
      <c r="M254" s="127"/>
      <c r="N254" s="127"/>
    </row>
    <row r="255" ht="30.0" customHeight="1">
      <c r="A255" s="127"/>
      <c r="B255" s="127"/>
      <c r="C255" s="127"/>
      <c r="D255" s="128"/>
      <c r="E255" s="129"/>
      <c r="F255" s="129"/>
      <c r="G255" s="129"/>
      <c r="H255" s="127"/>
      <c r="I255" s="127"/>
      <c r="J255" s="127"/>
      <c r="K255" s="127" t="str">
        <f>IF(M255="","",IFERROR(VLOOKUP(M255,SET!$A$2:$J$45,SET!$B$50+2,FALSE),""))</f>
        <v/>
      </c>
      <c r="L255" s="127"/>
      <c r="M255" s="127"/>
      <c r="N255" s="127"/>
    </row>
    <row r="256" ht="30.0" customHeight="1">
      <c r="A256" s="127"/>
      <c r="B256" s="127"/>
      <c r="C256" s="127"/>
      <c r="D256" s="128"/>
      <c r="E256" s="129"/>
      <c r="F256" s="129"/>
      <c r="G256" s="129"/>
      <c r="H256" s="127"/>
      <c r="I256" s="127"/>
      <c r="J256" s="127"/>
      <c r="K256" s="127" t="str">
        <f>IF(M256="","",IFERROR(VLOOKUP(M256,SET!$A$2:$J$45,SET!$B$50+2,FALSE),""))</f>
        <v/>
      </c>
      <c r="L256" s="127"/>
      <c r="M256" s="127"/>
      <c r="N256" s="127"/>
    </row>
    <row r="257" ht="30.0" customHeight="1">
      <c r="A257" s="127"/>
      <c r="B257" s="127"/>
      <c r="C257" s="127"/>
      <c r="D257" s="128"/>
      <c r="E257" s="129"/>
      <c r="F257" s="129"/>
      <c r="G257" s="129"/>
      <c r="H257" s="127"/>
      <c r="I257" s="127"/>
      <c r="J257" s="127"/>
      <c r="K257" s="127" t="str">
        <f>IF(M257="","",IFERROR(VLOOKUP(M257,SET!$A$2:$J$45,SET!$B$50+2,FALSE),""))</f>
        <v/>
      </c>
      <c r="L257" s="127"/>
      <c r="M257" s="127"/>
      <c r="N257" s="127"/>
    </row>
    <row r="258" ht="30.0" customHeight="1">
      <c r="A258" s="127"/>
      <c r="B258" s="127"/>
      <c r="C258" s="127"/>
      <c r="D258" s="128"/>
      <c r="E258" s="129"/>
      <c r="F258" s="129"/>
      <c r="G258" s="129"/>
      <c r="H258" s="127"/>
      <c r="I258" s="127"/>
      <c r="J258" s="127"/>
      <c r="K258" s="127" t="str">
        <f>IF(M258="","",IFERROR(VLOOKUP(M258,SET!$A$2:$J$45,SET!$B$50+2,FALSE),""))</f>
        <v/>
      </c>
      <c r="L258" s="127"/>
      <c r="M258" s="127"/>
      <c r="N258" s="127"/>
    </row>
    <row r="259" ht="30.0" customHeight="1">
      <c r="A259" s="127"/>
      <c r="B259" s="127"/>
      <c r="C259" s="127"/>
      <c r="D259" s="128"/>
      <c r="E259" s="129"/>
      <c r="F259" s="129"/>
      <c r="G259" s="129"/>
      <c r="H259" s="127"/>
      <c r="I259" s="127"/>
      <c r="J259" s="127"/>
      <c r="K259" s="127" t="str">
        <f>IF(M259="","",IFERROR(VLOOKUP(M259,SET!$A$2:$J$45,SET!$B$50+2,FALSE),""))</f>
        <v/>
      </c>
      <c r="L259" s="127"/>
      <c r="M259" s="127"/>
      <c r="N259" s="127"/>
    </row>
    <row r="260" ht="30.0" customHeight="1">
      <c r="A260" s="127"/>
      <c r="B260" s="127"/>
      <c r="C260" s="127"/>
      <c r="D260" s="128"/>
      <c r="E260" s="129"/>
      <c r="F260" s="129"/>
      <c r="G260" s="129"/>
      <c r="H260" s="127"/>
      <c r="I260" s="127"/>
      <c r="J260" s="127"/>
      <c r="K260" s="127" t="str">
        <f>IF(M260="","",IFERROR(VLOOKUP(M260,SET!$A$2:$J$45,SET!$B$50+2,FALSE),""))</f>
        <v/>
      </c>
      <c r="L260" s="127"/>
      <c r="M260" s="127"/>
      <c r="N260" s="127"/>
    </row>
    <row r="261" ht="30.0" customHeight="1">
      <c r="A261" s="127"/>
      <c r="B261" s="127"/>
      <c r="C261" s="127"/>
      <c r="D261" s="128"/>
      <c r="E261" s="129"/>
      <c r="F261" s="129"/>
      <c r="G261" s="129"/>
      <c r="H261" s="127"/>
      <c r="I261" s="127"/>
      <c r="J261" s="127"/>
      <c r="K261" s="127" t="str">
        <f>IF(M261="","",IFERROR(VLOOKUP(M261,SET!$A$2:$J$45,SET!$B$50+2,FALSE),""))</f>
        <v/>
      </c>
      <c r="L261" s="127"/>
      <c r="M261" s="127"/>
      <c r="N261" s="127"/>
    </row>
    <row r="262" ht="30.0" customHeight="1">
      <c r="A262" s="127"/>
      <c r="B262" s="127"/>
      <c r="C262" s="127"/>
      <c r="D262" s="128"/>
      <c r="E262" s="129"/>
      <c r="F262" s="129"/>
      <c r="G262" s="129"/>
      <c r="H262" s="127"/>
      <c r="I262" s="127"/>
      <c r="J262" s="127"/>
      <c r="K262" s="127" t="str">
        <f>IF(M262="","",IFERROR(VLOOKUP(M262,SET!$A$2:$J$45,SET!$B$50+2,FALSE),""))</f>
        <v/>
      </c>
      <c r="L262" s="127"/>
      <c r="M262" s="127"/>
      <c r="N262" s="127"/>
    </row>
    <row r="263" ht="30.0" customHeight="1">
      <c r="A263" s="127"/>
      <c r="B263" s="127"/>
      <c r="C263" s="127"/>
      <c r="D263" s="128"/>
      <c r="E263" s="129"/>
      <c r="F263" s="129"/>
      <c r="G263" s="129"/>
      <c r="H263" s="127"/>
      <c r="I263" s="127"/>
      <c r="J263" s="127"/>
      <c r="K263" s="127" t="str">
        <f>IF(M263="","",IFERROR(VLOOKUP(M263,SET!$A$2:$J$45,SET!$B$50+2,FALSE),""))</f>
        <v/>
      </c>
      <c r="L263" s="127"/>
      <c r="M263" s="127"/>
      <c r="N263" s="127"/>
    </row>
    <row r="264" ht="30.0" customHeight="1">
      <c r="A264" s="127"/>
      <c r="B264" s="127"/>
      <c r="C264" s="127"/>
      <c r="D264" s="128"/>
      <c r="E264" s="129"/>
      <c r="F264" s="129"/>
      <c r="G264" s="129"/>
      <c r="H264" s="127"/>
      <c r="I264" s="127"/>
      <c r="J264" s="127"/>
      <c r="K264" s="127" t="str">
        <f>IF(M264="","",IFERROR(VLOOKUP(M264,SET!$A$2:$J$45,SET!$B$50+2,FALSE),""))</f>
        <v/>
      </c>
      <c r="L264" s="127"/>
      <c r="M264" s="127"/>
      <c r="N264" s="127"/>
    </row>
    <row r="265" ht="30.0" customHeight="1">
      <c r="A265" s="127"/>
      <c r="B265" s="127"/>
      <c r="C265" s="127"/>
      <c r="D265" s="128"/>
      <c r="E265" s="129"/>
      <c r="F265" s="129"/>
      <c r="G265" s="129"/>
      <c r="H265" s="127"/>
      <c r="I265" s="127"/>
      <c r="J265" s="127"/>
      <c r="K265" s="127" t="str">
        <f>IF(M265="","",IFERROR(VLOOKUP(M265,SET!$A$2:$J$45,SET!$B$50+2,FALSE),""))</f>
        <v/>
      </c>
      <c r="L265" s="127"/>
      <c r="M265" s="127"/>
      <c r="N265" s="127"/>
    </row>
    <row r="266" ht="30.0" customHeight="1">
      <c r="A266" s="127"/>
      <c r="B266" s="127"/>
      <c r="C266" s="127"/>
      <c r="D266" s="128"/>
      <c r="E266" s="129"/>
      <c r="F266" s="129"/>
      <c r="G266" s="129"/>
      <c r="H266" s="127"/>
      <c r="I266" s="127"/>
      <c r="J266" s="127"/>
      <c r="K266" s="127" t="str">
        <f>IF(M266="","",IFERROR(VLOOKUP(M266,SET!$A$2:$J$45,SET!$B$50+2,FALSE),""))</f>
        <v/>
      </c>
      <c r="L266" s="127"/>
      <c r="M266" s="127"/>
      <c r="N266" s="127"/>
    </row>
    <row r="267" ht="30.0" customHeight="1">
      <c r="A267" s="127"/>
      <c r="B267" s="127"/>
      <c r="C267" s="127"/>
      <c r="D267" s="128"/>
      <c r="E267" s="129"/>
      <c r="F267" s="129"/>
      <c r="G267" s="129"/>
      <c r="H267" s="127"/>
      <c r="I267" s="127"/>
      <c r="J267" s="127"/>
      <c r="K267" s="127" t="str">
        <f>IF(M267="","",IFERROR(VLOOKUP(M267,SET!$A$2:$J$45,SET!$B$50+2,FALSE),""))</f>
        <v/>
      </c>
      <c r="L267" s="127"/>
      <c r="M267" s="127"/>
      <c r="N267" s="127"/>
    </row>
    <row r="268" ht="30.0" customHeight="1">
      <c r="A268" s="127"/>
      <c r="B268" s="127"/>
      <c r="C268" s="127"/>
      <c r="D268" s="128"/>
      <c r="E268" s="129"/>
      <c r="F268" s="129"/>
      <c r="G268" s="129"/>
      <c r="H268" s="127"/>
      <c r="I268" s="127"/>
      <c r="J268" s="127"/>
      <c r="K268" s="127" t="str">
        <f>IF(M268="","",IFERROR(VLOOKUP(M268,SET!$A$2:$J$45,SET!$B$50+2,FALSE),""))</f>
        <v/>
      </c>
      <c r="L268" s="127"/>
      <c r="M268" s="127"/>
      <c r="N268" s="127"/>
    </row>
    <row r="269" ht="30.0" customHeight="1">
      <c r="A269" s="127"/>
      <c r="B269" s="127"/>
      <c r="C269" s="127"/>
      <c r="D269" s="128"/>
      <c r="E269" s="129"/>
      <c r="F269" s="129"/>
      <c r="G269" s="129"/>
      <c r="H269" s="127"/>
      <c r="I269" s="127"/>
      <c r="J269" s="127"/>
      <c r="K269" s="127" t="str">
        <f>IF(M269="","",IFERROR(VLOOKUP(M269,SET!$A$2:$J$45,SET!$B$50+2,FALSE),""))</f>
        <v/>
      </c>
      <c r="L269" s="127"/>
      <c r="M269" s="127"/>
      <c r="N269" s="127"/>
    </row>
    <row r="270" ht="30.0" customHeight="1">
      <c r="A270" s="127"/>
      <c r="B270" s="127"/>
      <c r="C270" s="127"/>
      <c r="D270" s="128"/>
      <c r="E270" s="129"/>
      <c r="F270" s="129"/>
      <c r="G270" s="129"/>
      <c r="H270" s="127"/>
      <c r="I270" s="127"/>
      <c r="J270" s="127"/>
      <c r="K270" s="127" t="str">
        <f>IF(M270="","",IFERROR(VLOOKUP(M270,SET!$A$2:$J$45,SET!$B$50+2,FALSE),""))</f>
        <v/>
      </c>
      <c r="L270" s="127"/>
      <c r="M270" s="127"/>
      <c r="N270" s="127"/>
    </row>
    <row r="271" ht="30.0" customHeight="1">
      <c r="A271" s="127"/>
      <c r="B271" s="127"/>
      <c r="C271" s="127"/>
      <c r="D271" s="128"/>
      <c r="E271" s="129"/>
      <c r="F271" s="129"/>
      <c r="G271" s="129"/>
      <c r="H271" s="127"/>
      <c r="I271" s="127"/>
      <c r="J271" s="127"/>
      <c r="K271" s="127" t="str">
        <f>IF(M271="","",IFERROR(VLOOKUP(M271,SET!$A$2:$J$45,SET!$B$50+2,FALSE),""))</f>
        <v/>
      </c>
      <c r="L271" s="127"/>
      <c r="M271" s="127"/>
      <c r="N271" s="127"/>
    </row>
    <row r="272" ht="30.0" customHeight="1">
      <c r="A272" s="127"/>
      <c r="B272" s="127"/>
      <c r="C272" s="127"/>
      <c r="D272" s="128"/>
      <c r="E272" s="129"/>
      <c r="F272" s="129"/>
      <c r="G272" s="129"/>
      <c r="H272" s="127"/>
      <c r="I272" s="127"/>
      <c r="J272" s="127"/>
      <c r="K272" s="127" t="str">
        <f>IF(M272="","",IFERROR(VLOOKUP(M272,SET!$A$2:$J$45,SET!$B$50+2,FALSE),""))</f>
        <v/>
      </c>
      <c r="L272" s="127"/>
      <c r="M272" s="127"/>
      <c r="N272" s="127"/>
    </row>
    <row r="273" ht="30.0" customHeight="1">
      <c r="A273" s="127"/>
      <c r="B273" s="127"/>
      <c r="C273" s="127"/>
      <c r="D273" s="128"/>
      <c r="E273" s="129"/>
      <c r="F273" s="129"/>
      <c r="G273" s="129"/>
      <c r="H273" s="127"/>
      <c r="I273" s="127"/>
      <c r="J273" s="127"/>
      <c r="K273" s="127" t="str">
        <f>IF(M273="","",IFERROR(VLOOKUP(M273,SET!$A$2:$J$45,SET!$B$50+2,FALSE),""))</f>
        <v/>
      </c>
      <c r="L273" s="127"/>
      <c r="M273" s="127"/>
      <c r="N273" s="127"/>
    </row>
    <row r="274" ht="30.0" customHeight="1">
      <c r="A274" s="127"/>
      <c r="B274" s="127"/>
      <c r="C274" s="127"/>
      <c r="D274" s="128"/>
      <c r="E274" s="129"/>
      <c r="F274" s="129"/>
      <c r="G274" s="129"/>
      <c r="H274" s="127"/>
      <c r="I274" s="127"/>
      <c r="J274" s="127"/>
      <c r="K274" s="127" t="str">
        <f>IF(M274="","",IFERROR(VLOOKUP(M274,SET!$A$2:$J$45,SET!$B$50+2,FALSE),""))</f>
        <v/>
      </c>
      <c r="L274" s="127"/>
      <c r="M274" s="127"/>
      <c r="N274" s="127"/>
    </row>
    <row r="275" ht="30.0" customHeight="1">
      <c r="A275" s="127"/>
      <c r="B275" s="127"/>
      <c r="C275" s="127"/>
      <c r="D275" s="128"/>
      <c r="E275" s="129"/>
      <c r="F275" s="129"/>
      <c r="G275" s="129"/>
      <c r="H275" s="127"/>
      <c r="I275" s="127"/>
      <c r="J275" s="127"/>
      <c r="K275" s="127" t="str">
        <f>IF(M275="","",IFERROR(VLOOKUP(M275,SET!$A$2:$J$45,SET!$B$50+2,FALSE),""))</f>
        <v/>
      </c>
      <c r="L275" s="127"/>
      <c r="M275" s="127"/>
      <c r="N275" s="127"/>
    </row>
    <row r="276" ht="30.0" customHeight="1">
      <c r="A276" s="127"/>
      <c r="B276" s="127"/>
      <c r="C276" s="127"/>
      <c r="D276" s="128"/>
      <c r="E276" s="129"/>
      <c r="F276" s="129"/>
      <c r="G276" s="129"/>
      <c r="H276" s="127"/>
      <c r="I276" s="127"/>
      <c r="J276" s="127"/>
      <c r="K276" s="127" t="str">
        <f>IF(M276="","",IFERROR(VLOOKUP(M276,SET!$A$2:$J$45,SET!$B$50+2,FALSE),""))</f>
        <v/>
      </c>
      <c r="L276" s="127"/>
      <c r="M276" s="127"/>
      <c r="N276" s="127"/>
    </row>
    <row r="277" ht="30.0" customHeight="1">
      <c r="A277" s="127"/>
      <c r="B277" s="127"/>
      <c r="C277" s="127"/>
      <c r="D277" s="128"/>
      <c r="E277" s="129"/>
      <c r="F277" s="129"/>
      <c r="G277" s="129"/>
      <c r="H277" s="127"/>
      <c r="I277" s="127"/>
      <c r="J277" s="127"/>
      <c r="K277" s="127" t="str">
        <f>IF(M277="","",IFERROR(VLOOKUP(M277,SET!$A$2:$J$45,SET!$B$50+2,FALSE),""))</f>
        <v/>
      </c>
      <c r="L277" s="127"/>
      <c r="M277" s="127"/>
      <c r="N277" s="127"/>
    </row>
    <row r="278" ht="30.0" customHeight="1">
      <c r="A278" s="127"/>
      <c r="B278" s="127"/>
      <c r="C278" s="127"/>
      <c r="D278" s="128"/>
      <c r="E278" s="129"/>
      <c r="F278" s="129"/>
      <c r="G278" s="129"/>
      <c r="H278" s="127"/>
      <c r="I278" s="127"/>
      <c r="J278" s="127"/>
      <c r="K278" s="127" t="str">
        <f>IF(M278="","",IFERROR(VLOOKUP(M278,SET!$A$2:$J$45,SET!$B$50+2,FALSE),""))</f>
        <v/>
      </c>
      <c r="L278" s="127"/>
      <c r="M278" s="127"/>
      <c r="N278" s="127"/>
    </row>
    <row r="279" ht="30.0" customHeight="1">
      <c r="A279" s="127"/>
      <c r="B279" s="127"/>
      <c r="C279" s="127"/>
      <c r="D279" s="128"/>
      <c r="E279" s="129"/>
      <c r="F279" s="129"/>
      <c r="G279" s="129"/>
      <c r="H279" s="127"/>
      <c r="I279" s="127"/>
      <c r="J279" s="127"/>
      <c r="K279" s="127" t="str">
        <f>IF(M279="","",IFERROR(VLOOKUP(M279,SET!$A$2:$J$45,SET!$B$50+2,FALSE),""))</f>
        <v/>
      </c>
      <c r="L279" s="127"/>
      <c r="M279" s="127"/>
      <c r="N279" s="127"/>
    </row>
    <row r="280" ht="30.0" customHeight="1">
      <c r="A280" s="127"/>
      <c r="B280" s="127"/>
      <c r="C280" s="127"/>
      <c r="D280" s="128"/>
      <c r="E280" s="129"/>
      <c r="F280" s="129"/>
      <c r="G280" s="129"/>
      <c r="H280" s="127"/>
      <c r="I280" s="127"/>
      <c r="J280" s="127"/>
      <c r="K280" s="127" t="str">
        <f>IF(M280="","",IFERROR(VLOOKUP(M280,SET!$A$2:$J$45,SET!$B$50+2,FALSE),""))</f>
        <v/>
      </c>
      <c r="L280" s="127"/>
      <c r="M280" s="127"/>
      <c r="N280" s="127"/>
    </row>
    <row r="281" ht="30.0" customHeight="1">
      <c r="A281" s="127"/>
      <c r="B281" s="127"/>
      <c r="C281" s="127"/>
      <c r="D281" s="128"/>
      <c r="E281" s="129"/>
      <c r="F281" s="129"/>
      <c r="G281" s="129"/>
      <c r="H281" s="127"/>
      <c r="I281" s="127"/>
      <c r="J281" s="127"/>
      <c r="K281" s="127" t="str">
        <f>IF(M281="","",IFERROR(VLOOKUP(M281,SET!$A$2:$J$45,SET!$B$50+2,FALSE),""))</f>
        <v/>
      </c>
      <c r="L281" s="127"/>
      <c r="M281" s="127"/>
      <c r="N281" s="127"/>
    </row>
    <row r="282" ht="30.0" customHeight="1">
      <c r="A282" s="127"/>
      <c r="B282" s="127"/>
      <c r="C282" s="127"/>
      <c r="D282" s="128"/>
      <c r="E282" s="129"/>
      <c r="F282" s="129"/>
      <c r="G282" s="129"/>
      <c r="H282" s="127"/>
      <c r="I282" s="127"/>
      <c r="J282" s="127"/>
      <c r="K282" s="127" t="str">
        <f>IF(M282="","",IFERROR(VLOOKUP(M282,SET!$A$2:$J$45,SET!$B$50+2,FALSE),""))</f>
        <v/>
      </c>
      <c r="L282" s="127"/>
      <c r="M282" s="127"/>
      <c r="N282" s="127"/>
    </row>
    <row r="283" ht="30.0" customHeight="1">
      <c r="A283" s="127"/>
      <c r="B283" s="127"/>
      <c r="C283" s="127"/>
      <c r="D283" s="128"/>
      <c r="E283" s="129"/>
      <c r="F283" s="129"/>
      <c r="G283" s="129"/>
      <c r="H283" s="127"/>
      <c r="I283" s="127"/>
      <c r="J283" s="127"/>
      <c r="K283" s="127" t="str">
        <f>IF(M283="","",IFERROR(VLOOKUP(M283,SET!$A$2:$J$45,SET!$B$50+2,FALSE),""))</f>
        <v/>
      </c>
      <c r="L283" s="127"/>
      <c r="M283" s="127"/>
      <c r="N283" s="127"/>
    </row>
    <row r="284" ht="30.0" customHeight="1">
      <c r="A284" s="127"/>
      <c r="B284" s="127"/>
      <c r="C284" s="127"/>
      <c r="D284" s="128"/>
      <c r="E284" s="129"/>
      <c r="F284" s="129"/>
      <c r="G284" s="129"/>
      <c r="H284" s="127"/>
      <c r="I284" s="127"/>
      <c r="J284" s="127"/>
      <c r="K284" s="127" t="str">
        <f>IF(M284="","",IFERROR(VLOOKUP(M284,SET!$A$2:$J$45,SET!$B$50+2,FALSE),""))</f>
        <v/>
      </c>
      <c r="L284" s="127"/>
      <c r="M284" s="127"/>
      <c r="N284" s="127"/>
    </row>
    <row r="285" ht="30.0" customHeight="1">
      <c r="A285" s="127"/>
      <c r="B285" s="127"/>
      <c r="C285" s="127"/>
      <c r="D285" s="128"/>
      <c r="E285" s="129"/>
      <c r="F285" s="129"/>
      <c r="G285" s="129"/>
      <c r="H285" s="127"/>
      <c r="I285" s="127"/>
      <c r="J285" s="127"/>
      <c r="K285" s="127" t="str">
        <f>IF(M285="","",IFERROR(VLOOKUP(M285,SET!$A$2:$J$45,SET!$B$50+2,FALSE),""))</f>
        <v/>
      </c>
      <c r="L285" s="127"/>
      <c r="M285" s="127"/>
      <c r="N285" s="127"/>
    </row>
    <row r="286" ht="30.0" customHeight="1">
      <c r="A286" s="127"/>
      <c r="B286" s="127"/>
      <c r="C286" s="127"/>
      <c r="D286" s="128"/>
      <c r="E286" s="129"/>
      <c r="F286" s="129"/>
      <c r="G286" s="129"/>
      <c r="H286" s="127"/>
      <c r="I286" s="127"/>
      <c r="J286" s="127"/>
      <c r="K286" s="127" t="str">
        <f>IF(M286="","",IFERROR(VLOOKUP(M286,SET!$A$2:$J$45,SET!$B$50+2,FALSE),""))</f>
        <v/>
      </c>
      <c r="L286" s="127"/>
      <c r="M286" s="127"/>
      <c r="N286" s="127"/>
    </row>
    <row r="287" ht="30.0" customHeight="1">
      <c r="A287" s="127"/>
      <c r="B287" s="127"/>
      <c r="C287" s="127"/>
      <c r="D287" s="128"/>
      <c r="E287" s="129"/>
      <c r="F287" s="129"/>
      <c r="G287" s="129"/>
      <c r="H287" s="127"/>
      <c r="I287" s="127"/>
      <c r="J287" s="127"/>
      <c r="K287" s="127" t="str">
        <f>IF(M287="","",IFERROR(VLOOKUP(M287,SET!$A$2:$J$45,SET!$B$50+2,FALSE),""))</f>
        <v/>
      </c>
      <c r="L287" s="127"/>
      <c r="M287" s="127"/>
      <c r="N287" s="127"/>
    </row>
    <row r="288" ht="30.0" customHeight="1">
      <c r="A288" s="127"/>
      <c r="B288" s="127"/>
      <c r="C288" s="127"/>
      <c r="D288" s="128"/>
      <c r="E288" s="129"/>
      <c r="F288" s="129"/>
      <c r="G288" s="129"/>
      <c r="H288" s="127"/>
      <c r="I288" s="127"/>
      <c r="J288" s="127"/>
      <c r="K288" s="127" t="str">
        <f>IF(M288="","",IFERROR(VLOOKUP(M288,SET!$A$2:$J$45,SET!$B$50+2,FALSE),""))</f>
        <v/>
      </c>
      <c r="L288" s="127"/>
      <c r="M288" s="127"/>
      <c r="N288" s="127"/>
    </row>
    <row r="289" ht="30.0" customHeight="1">
      <c r="A289" s="127"/>
      <c r="B289" s="127"/>
      <c r="C289" s="127"/>
      <c r="D289" s="128"/>
      <c r="E289" s="129"/>
      <c r="F289" s="129"/>
      <c r="G289" s="129"/>
      <c r="H289" s="127"/>
      <c r="I289" s="127"/>
      <c r="J289" s="127"/>
      <c r="K289" s="127" t="str">
        <f>IF(M289="","",IFERROR(VLOOKUP(M289,SET!$A$2:$J$45,SET!$B$50+2,FALSE),""))</f>
        <v/>
      </c>
      <c r="L289" s="127"/>
      <c r="M289" s="127"/>
      <c r="N289" s="127"/>
    </row>
    <row r="290" ht="30.0" customHeight="1">
      <c r="A290" s="127"/>
      <c r="B290" s="127"/>
      <c r="C290" s="127"/>
      <c r="D290" s="128"/>
      <c r="E290" s="129"/>
      <c r="F290" s="129"/>
      <c r="G290" s="129"/>
      <c r="H290" s="127"/>
      <c r="I290" s="127"/>
      <c r="J290" s="127"/>
      <c r="K290" s="127" t="str">
        <f>IF(M290="","",IFERROR(VLOOKUP(M290,SET!$A$2:$J$45,SET!$B$50+2,FALSE),""))</f>
        <v/>
      </c>
      <c r="L290" s="127"/>
      <c r="M290" s="127"/>
      <c r="N290" s="127"/>
    </row>
    <row r="291" ht="30.0" customHeight="1">
      <c r="A291" s="127"/>
      <c r="B291" s="127"/>
      <c r="C291" s="127"/>
      <c r="D291" s="128"/>
      <c r="E291" s="129"/>
      <c r="F291" s="129"/>
      <c r="G291" s="129"/>
      <c r="H291" s="127"/>
      <c r="I291" s="127"/>
      <c r="J291" s="127"/>
      <c r="K291" s="127" t="str">
        <f>IF(M291="","",IFERROR(VLOOKUP(M291,SET!$A$2:$J$45,SET!$B$50+2,FALSE),""))</f>
        <v/>
      </c>
      <c r="L291" s="127"/>
      <c r="M291" s="127"/>
      <c r="N291" s="127"/>
    </row>
    <row r="292" ht="30.0" customHeight="1">
      <c r="A292" s="127"/>
      <c r="B292" s="127"/>
      <c r="C292" s="127"/>
      <c r="D292" s="128"/>
      <c r="E292" s="129"/>
      <c r="F292" s="129"/>
      <c r="G292" s="129"/>
      <c r="H292" s="127"/>
      <c r="I292" s="127"/>
      <c r="J292" s="127"/>
      <c r="K292" s="127" t="str">
        <f>IF(M292="","",IFERROR(VLOOKUP(M292,SET!$A$2:$J$45,SET!$B$50+2,FALSE),""))</f>
        <v/>
      </c>
      <c r="L292" s="127"/>
      <c r="M292" s="127"/>
      <c r="N292" s="127"/>
    </row>
    <row r="293" ht="30.0" customHeight="1">
      <c r="A293" s="127"/>
      <c r="B293" s="127"/>
      <c r="C293" s="127"/>
      <c r="D293" s="128"/>
      <c r="E293" s="129"/>
      <c r="F293" s="129"/>
      <c r="G293" s="129"/>
      <c r="H293" s="127"/>
      <c r="I293" s="127"/>
      <c r="J293" s="127"/>
      <c r="K293" s="127" t="str">
        <f>IF(M293="","",IFERROR(VLOOKUP(M293,SET!$A$2:$J$45,SET!$B$50+2,FALSE),""))</f>
        <v/>
      </c>
      <c r="L293" s="127"/>
      <c r="M293" s="127"/>
      <c r="N293" s="127"/>
    </row>
    <row r="294" ht="30.0" customHeight="1">
      <c r="A294" s="127"/>
      <c r="B294" s="127"/>
      <c r="C294" s="127"/>
      <c r="D294" s="128"/>
      <c r="E294" s="129"/>
      <c r="F294" s="129"/>
      <c r="G294" s="129"/>
      <c r="H294" s="127"/>
      <c r="I294" s="127"/>
      <c r="J294" s="127"/>
      <c r="K294" s="127" t="str">
        <f>IF(M294="","",IFERROR(VLOOKUP(M294,SET!$A$2:$J$45,SET!$B$50+2,FALSE),""))</f>
        <v/>
      </c>
      <c r="L294" s="127"/>
      <c r="M294" s="127"/>
      <c r="N294" s="127"/>
    </row>
    <row r="295" ht="30.0" customHeight="1">
      <c r="A295" s="127"/>
      <c r="B295" s="127"/>
      <c r="C295" s="127"/>
      <c r="D295" s="128"/>
      <c r="E295" s="129"/>
      <c r="F295" s="129"/>
      <c r="G295" s="129"/>
      <c r="H295" s="127"/>
      <c r="I295" s="127"/>
      <c r="J295" s="127"/>
      <c r="K295" s="127" t="str">
        <f>IF(M295="","",IFERROR(VLOOKUP(M295,SET!$A$2:$J$45,SET!$B$50+2,FALSE),""))</f>
        <v/>
      </c>
      <c r="L295" s="127"/>
      <c r="M295" s="127"/>
      <c r="N295" s="127"/>
    </row>
    <row r="296" ht="30.0" customHeight="1">
      <c r="A296" s="127"/>
      <c r="B296" s="127"/>
      <c r="C296" s="127"/>
      <c r="D296" s="128"/>
      <c r="E296" s="129"/>
      <c r="F296" s="129"/>
      <c r="G296" s="129"/>
      <c r="H296" s="127"/>
      <c r="I296" s="127"/>
      <c r="J296" s="127"/>
      <c r="K296" s="127" t="str">
        <f>IF(M296="","",IFERROR(VLOOKUP(M296,SET!$A$2:$J$45,SET!$B$50+2,FALSE),""))</f>
        <v/>
      </c>
      <c r="L296" s="127"/>
      <c r="M296" s="127"/>
      <c r="N296" s="127"/>
    </row>
    <row r="297" ht="30.0" customHeight="1">
      <c r="A297" s="127"/>
      <c r="B297" s="127"/>
      <c r="C297" s="127"/>
      <c r="D297" s="128"/>
      <c r="E297" s="129"/>
      <c r="F297" s="129"/>
      <c r="G297" s="129"/>
      <c r="H297" s="127"/>
      <c r="I297" s="127"/>
      <c r="J297" s="127"/>
      <c r="K297" s="127"/>
      <c r="L297" s="127"/>
      <c r="M297" s="127"/>
      <c r="N297" s="127"/>
    </row>
    <row r="298" ht="30.0" customHeight="1">
      <c r="A298" s="127"/>
      <c r="B298" s="127"/>
      <c r="C298" s="127"/>
      <c r="D298" s="128"/>
      <c r="E298" s="129"/>
      <c r="F298" s="129"/>
      <c r="G298" s="129"/>
      <c r="H298" s="127"/>
      <c r="I298" s="127"/>
      <c r="J298" s="127"/>
      <c r="K298" s="127"/>
      <c r="L298" s="127"/>
      <c r="M298" s="127"/>
      <c r="N298" s="127"/>
    </row>
    <row r="299" ht="30.0" customHeight="1">
      <c r="A299" s="127"/>
      <c r="B299" s="127"/>
      <c r="C299" s="127"/>
      <c r="D299" s="128"/>
      <c r="E299" s="129"/>
      <c r="F299" s="129"/>
      <c r="G299" s="129"/>
      <c r="H299" s="127"/>
      <c r="I299" s="127"/>
      <c r="J299" s="127"/>
      <c r="K299" s="127"/>
      <c r="L299" s="127"/>
      <c r="M299" s="127"/>
      <c r="N299" s="127"/>
    </row>
    <row r="300" ht="30.0" customHeight="1">
      <c r="A300" s="127"/>
      <c r="B300" s="127"/>
      <c r="C300" s="127"/>
      <c r="D300" s="128"/>
      <c r="E300" s="129"/>
      <c r="F300" s="129"/>
      <c r="G300" s="129"/>
      <c r="H300" s="127"/>
      <c r="I300" s="127"/>
      <c r="J300" s="127"/>
      <c r="K300" s="127"/>
      <c r="L300" s="127"/>
      <c r="M300" s="127"/>
      <c r="N300" s="127"/>
    </row>
    <row r="301" ht="30.0" customHeight="1">
      <c r="A301" s="127"/>
      <c r="B301" s="127"/>
      <c r="C301" s="127"/>
      <c r="D301" s="128"/>
      <c r="E301" s="129"/>
      <c r="F301" s="129"/>
      <c r="G301" s="129"/>
      <c r="H301" s="127"/>
      <c r="I301" s="127"/>
      <c r="J301" s="127"/>
      <c r="K301" s="127"/>
      <c r="L301" s="127"/>
      <c r="M301" s="127"/>
      <c r="N301" s="127"/>
    </row>
    <row r="302" ht="30.0" customHeight="1">
      <c r="A302" s="127"/>
      <c r="B302" s="127"/>
      <c r="C302" s="127"/>
      <c r="D302" s="128"/>
      <c r="E302" s="129"/>
      <c r="F302" s="129"/>
      <c r="G302" s="129"/>
      <c r="H302" s="127"/>
      <c r="I302" s="127"/>
      <c r="J302" s="127"/>
      <c r="K302" s="127"/>
      <c r="L302" s="127"/>
      <c r="M302" s="127"/>
      <c r="N302" s="127"/>
    </row>
    <row r="303" ht="30.0" customHeight="1">
      <c r="A303" s="127"/>
      <c r="B303" s="127"/>
      <c r="C303" s="127"/>
      <c r="D303" s="128"/>
      <c r="E303" s="129"/>
      <c r="F303" s="129"/>
      <c r="G303" s="129"/>
      <c r="H303" s="127"/>
      <c r="I303" s="127"/>
      <c r="J303" s="127"/>
      <c r="K303" s="127"/>
      <c r="L303" s="127"/>
      <c r="M303" s="127"/>
      <c r="N303" s="127"/>
    </row>
    <row r="304" ht="30.0" customHeight="1">
      <c r="A304" s="127"/>
      <c r="B304" s="127"/>
      <c r="C304" s="127"/>
      <c r="D304" s="128"/>
      <c r="E304" s="129"/>
      <c r="F304" s="129"/>
      <c r="G304" s="129"/>
      <c r="H304" s="127"/>
      <c r="I304" s="127"/>
      <c r="J304" s="127"/>
      <c r="K304" s="127"/>
      <c r="L304" s="127"/>
      <c r="M304" s="127"/>
      <c r="N304" s="127"/>
    </row>
    <row r="305" ht="30.0" customHeight="1">
      <c r="A305" s="127"/>
      <c r="B305" s="127"/>
      <c r="C305" s="127"/>
      <c r="D305" s="128"/>
      <c r="E305" s="129"/>
      <c r="F305" s="129"/>
      <c r="G305" s="129"/>
      <c r="H305" s="127"/>
      <c r="I305" s="127"/>
      <c r="J305" s="127"/>
      <c r="K305" s="127"/>
      <c r="L305" s="127"/>
      <c r="M305" s="127"/>
      <c r="N305" s="127"/>
    </row>
    <row r="306" ht="30.0" customHeight="1">
      <c r="A306" s="127"/>
      <c r="B306" s="127"/>
      <c r="C306" s="127"/>
      <c r="D306" s="128"/>
      <c r="E306" s="129"/>
      <c r="F306" s="129"/>
      <c r="G306" s="129"/>
      <c r="H306" s="127"/>
      <c r="I306" s="127"/>
      <c r="J306" s="127"/>
      <c r="K306" s="127"/>
      <c r="L306" s="127"/>
      <c r="M306" s="127"/>
      <c r="N306" s="127"/>
    </row>
    <row r="307" ht="30.0" customHeight="1">
      <c r="A307" s="127"/>
      <c r="B307" s="127"/>
      <c r="C307" s="127"/>
      <c r="D307" s="128"/>
      <c r="E307" s="129"/>
      <c r="F307" s="129"/>
      <c r="G307" s="129"/>
      <c r="H307" s="127"/>
      <c r="I307" s="127"/>
      <c r="J307" s="127"/>
      <c r="K307" s="127"/>
      <c r="L307" s="127"/>
      <c r="M307" s="127"/>
      <c r="N307" s="127"/>
    </row>
    <row r="308" ht="30.0" customHeight="1">
      <c r="A308" s="127"/>
      <c r="B308" s="127"/>
      <c r="C308" s="127"/>
      <c r="D308" s="128"/>
      <c r="E308" s="129"/>
      <c r="F308" s="129"/>
      <c r="G308" s="129"/>
      <c r="H308" s="127"/>
      <c r="I308" s="127"/>
      <c r="J308" s="127"/>
      <c r="K308" s="127"/>
      <c r="L308" s="127"/>
      <c r="M308" s="127"/>
      <c r="N308" s="127"/>
    </row>
    <row r="309" ht="30.0" customHeight="1">
      <c r="A309" s="127"/>
      <c r="B309" s="127"/>
      <c r="C309" s="127"/>
      <c r="D309" s="128"/>
      <c r="E309" s="129"/>
      <c r="F309" s="129"/>
      <c r="G309" s="129"/>
      <c r="H309" s="127"/>
      <c r="I309" s="127"/>
      <c r="J309" s="127"/>
      <c r="K309" s="127"/>
      <c r="L309" s="127"/>
      <c r="M309" s="127"/>
      <c r="N309" s="127"/>
    </row>
    <row r="310" ht="30.0" customHeight="1">
      <c r="A310" s="127"/>
      <c r="B310" s="127"/>
      <c r="C310" s="127"/>
      <c r="D310" s="128"/>
      <c r="E310" s="129"/>
      <c r="F310" s="129"/>
      <c r="G310" s="129"/>
      <c r="H310" s="127"/>
      <c r="I310" s="127"/>
      <c r="J310" s="127"/>
      <c r="K310" s="127"/>
      <c r="L310" s="127"/>
      <c r="M310" s="127"/>
      <c r="N310" s="127"/>
    </row>
    <row r="311" ht="30.0" customHeight="1">
      <c r="A311" s="127"/>
      <c r="B311" s="127"/>
      <c r="C311" s="127"/>
      <c r="D311" s="128"/>
      <c r="E311" s="129"/>
      <c r="F311" s="129"/>
      <c r="G311" s="129"/>
      <c r="H311" s="127"/>
      <c r="I311" s="127"/>
      <c r="J311" s="127"/>
      <c r="K311" s="127"/>
      <c r="L311" s="127"/>
      <c r="M311" s="127"/>
      <c r="N311" s="127"/>
    </row>
    <row r="312" ht="30.0" customHeight="1">
      <c r="A312" s="127"/>
      <c r="B312" s="127"/>
      <c r="C312" s="127"/>
      <c r="D312" s="128"/>
      <c r="E312" s="129"/>
      <c r="F312" s="129"/>
      <c r="G312" s="129"/>
      <c r="H312" s="127"/>
      <c r="I312" s="127"/>
      <c r="J312" s="127"/>
      <c r="K312" s="127"/>
      <c r="L312" s="127"/>
      <c r="M312" s="127"/>
      <c r="N312" s="127"/>
    </row>
    <row r="313" ht="30.0" customHeight="1">
      <c r="A313" s="127"/>
      <c r="B313" s="127"/>
      <c r="C313" s="127"/>
      <c r="D313" s="128"/>
      <c r="E313" s="129"/>
      <c r="F313" s="129"/>
      <c r="G313" s="129"/>
      <c r="H313" s="127"/>
      <c r="I313" s="127"/>
      <c r="J313" s="127"/>
      <c r="K313" s="127"/>
      <c r="L313" s="127"/>
      <c r="M313" s="127"/>
      <c r="N313" s="127"/>
    </row>
    <row r="314" ht="30.0" customHeight="1">
      <c r="A314" s="127"/>
      <c r="B314" s="127"/>
      <c r="C314" s="127"/>
      <c r="D314" s="128"/>
      <c r="E314" s="129"/>
      <c r="F314" s="129"/>
      <c r="G314" s="129"/>
      <c r="H314" s="127"/>
      <c r="I314" s="127"/>
      <c r="J314" s="127"/>
      <c r="K314" s="127"/>
      <c r="L314" s="127"/>
      <c r="M314" s="127"/>
      <c r="N314" s="127"/>
    </row>
    <row r="315" ht="30.0" customHeight="1">
      <c r="A315" s="127"/>
      <c r="B315" s="127"/>
      <c r="C315" s="127"/>
      <c r="D315" s="128"/>
      <c r="E315" s="129"/>
      <c r="F315" s="129"/>
      <c r="G315" s="129"/>
      <c r="H315" s="127"/>
      <c r="I315" s="127"/>
      <c r="J315" s="127"/>
      <c r="K315" s="127"/>
      <c r="L315" s="127"/>
      <c r="M315" s="127"/>
      <c r="N315" s="127"/>
    </row>
    <row r="316" ht="30.0" customHeight="1">
      <c r="A316" s="127"/>
      <c r="B316" s="127"/>
      <c r="C316" s="127"/>
      <c r="D316" s="128"/>
      <c r="E316" s="129"/>
      <c r="F316" s="129"/>
      <c r="G316" s="129"/>
      <c r="H316" s="127"/>
      <c r="I316" s="127"/>
      <c r="J316" s="127"/>
      <c r="K316" s="127"/>
      <c r="L316" s="127"/>
      <c r="M316" s="127"/>
      <c r="N316" s="127"/>
    </row>
    <row r="317" ht="30.0" customHeight="1">
      <c r="A317" s="127"/>
      <c r="B317" s="127"/>
      <c r="C317" s="127"/>
      <c r="D317" s="128"/>
      <c r="E317" s="129"/>
      <c r="F317" s="129"/>
      <c r="G317" s="129"/>
      <c r="H317" s="127"/>
      <c r="I317" s="127"/>
      <c r="J317" s="127"/>
      <c r="K317" s="127"/>
      <c r="L317" s="127"/>
      <c r="M317" s="127"/>
      <c r="N317" s="127"/>
    </row>
    <row r="318" ht="30.0" customHeight="1">
      <c r="A318" s="127"/>
      <c r="B318" s="127"/>
      <c r="C318" s="127"/>
      <c r="D318" s="128"/>
      <c r="E318" s="129"/>
      <c r="F318" s="129"/>
      <c r="G318" s="129"/>
      <c r="H318" s="127"/>
      <c r="I318" s="127"/>
      <c r="J318" s="127"/>
      <c r="K318" s="127"/>
      <c r="L318" s="127"/>
      <c r="M318" s="127"/>
      <c r="N318" s="127"/>
    </row>
    <row r="319" ht="30.0" customHeight="1">
      <c r="A319" s="127"/>
      <c r="B319" s="127"/>
      <c r="C319" s="127"/>
      <c r="D319" s="128"/>
      <c r="E319" s="129"/>
      <c r="F319" s="129"/>
      <c r="G319" s="129"/>
      <c r="H319" s="127"/>
      <c r="I319" s="127"/>
      <c r="J319" s="127"/>
      <c r="K319" s="127"/>
      <c r="L319" s="127"/>
      <c r="M319" s="127"/>
      <c r="N319" s="127"/>
    </row>
    <row r="320" ht="30.0" customHeight="1">
      <c r="A320" s="127"/>
      <c r="B320" s="127"/>
      <c r="C320" s="127"/>
      <c r="D320" s="128"/>
      <c r="E320" s="129"/>
      <c r="F320" s="129"/>
      <c r="G320" s="129"/>
      <c r="H320" s="127"/>
      <c r="I320" s="127"/>
      <c r="J320" s="127"/>
      <c r="K320" s="127"/>
      <c r="L320" s="127"/>
      <c r="M320" s="127"/>
      <c r="N320" s="127"/>
    </row>
    <row r="321" ht="30.0" customHeight="1">
      <c r="A321" s="127"/>
      <c r="B321" s="127"/>
      <c r="C321" s="127"/>
      <c r="D321" s="128"/>
      <c r="E321" s="129"/>
      <c r="F321" s="129"/>
      <c r="G321" s="129"/>
      <c r="H321" s="127"/>
      <c r="I321" s="127"/>
      <c r="J321" s="127"/>
      <c r="K321" s="127"/>
      <c r="L321" s="127"/>
      <c r="M321" s="127"/>
      <c r="N321" s="127"/>
    </row>
    <row r="322" ht="30.0" customHeight="1">
      <c r="A322" s="127"/>
      <c r="B322" s="127"/>
      <c r="C322" s="127"/>
      <c r="D322" s="128"/>
      <c r="E322" s="129"/>
      <c r="F322" s="129"/>
      <c r="G322" s="129"/>
      <c r="H322" s="127"/>
      <c r="I322" s="127"/>
      <c r="J322" s="127"/>
      <c r="K322" s="127"/>
      <c r="L322" s="127"/>
      <c r="M322" s="127"/>
      <c r="N322" s="127"/>
    </row>
    <row r="323" ht="30.0" customHeight="1">
      <c r="A323" s="127"/>
      <c r="B323" s="130"/>
      <c r="C323" s="127"/>
      <c r="D323" s="128"/>
      <c r="E323" s="129"/>
      <c r="F323" s="129"/>
      <c r="G323" s="129"/>
      <c r="H323" s="127"/>
      <c r="I323" s="127"/>
      <c r="J323" s="127"/>
      <c r="K323" s="127"/>
      <c r="L323" s="127"/>
      <c r="M323" s="127"/>
      <c r="N323" s="127"/>
    </row>
    <row r="324" ht="30.0" customHeight="1">
      <c r="A324" s="127"/>
      <c r="B324" s="130"/>
      <c r="C324" s="127"/>
      <c r="D324" s="128"/>
      <c r="E324" s="129"/>
      <c r="F324" s="129"/>
      <c r="G324" s="129"/>
      <c r="H324" s="127"/>
      <c r="I324" s="127"/>
      <c r="J324" s="127"/>
      <c r="K324" s="127"/>
      <c r="L324" s="127"/>
      <c r="M324" s="127"/>
      <c r="N324" s="127"/>
    </row>
    <row r="325" ht="30.0" customHeight="1">
      <c r="A325" s="127"/>
      <c r="B325" s="127"/>
      <c r="C325" s="127"/>
      <c r="D325" s="128"/>
      <c r="E325" s="129"/>
      <c r="F325" s="129"/>
      <c r="G325" s="129"/>
      <c r="H325" s="127"/>
      <c r="I325" s="127"/>
      <c r="J325" s="127"/>
      <c r="K325" s="127"/>
      <c r="L325" s="127"/>
      <c r="M325" s="127"/>
      <c r="N325" s="127"/>
    </row>
    <row r="326" ht="30.0" customHeight="1">
      <c r="A326" s="127"/>
      <c r="B326" s="127"/>
      <c r="C326" s="127"/>
      <c r="D326" s="128"/>
      <c r="E326" s="129"/>
      <c r="F326" s="129"/>
      <c r="G326" s="129"/>
      <c r="H326" s="127"/>
      <c r="I326" s="127"/>
      <c r="J326" s="127"/>
      <c r="K326" s="127"/>
      <c r="L326" s="127"/>
      <c r="M326" s="127"/>
      <c r="N326" s="127"/>
    </row>
    <row r="327" ht="30.0" customHeight="1">
      <c r="A327" s="127"/>
      <c r="B327" s="127"/>
      <c r="C327" s="127"/>
      <c r="D327" s="128"/>
      <c r="E327" s="129"/>
      <c r="F327" s="129"/>
      <c r="G327" s="129"/>
      <c r="H327" s="127"/>
      <c r="I327" s="127"/>
      <c r="J327" s="127"/>
      <c r="K327" s="127"/>
      <c r="L327" s="127"/>
      <c r="M327" s="127"/>
      <c r="N327" s="127"/>
    </row>
    <row r="328" ht="30.0" customHeight="1">
      <c r="A328" s="127"/>
      <c r="B328" s="127"/>
      <c r="C328" s="127"/>
      <c r="D328" s="128"/>
      <c r="E328" s="129"/>
      <c r="F328" s="129"/>
      <c r="G328" s="129"/>
      <c r="H328" s="127"/>
      <c r="I328" s="127"/>
      <c r="J328" s="127"/>
      <c r="K328" s="127"/>
      <c r="L328" s="127"/>
      <c r="M328" s="127"/>
      <c r="N328" s="127"/>
    </row>
    <row r="329" ht="30.0" customHeight="1">
      <c r="A329" s="127"/>
      <c r="B329" s="127"/>
      <c r="C329" s="127"/>
      <c r="D329" s="128"/>
      <c r="E329" s="129"/>
      <c r="F329" s="129"/>
      <c r="G329" s="129"/>
      <c r="H329" s="127"/>
      <c r="I329" s="127"/>
      <c r="J329" s="127"/>
      <c r="K329" s="127"/>
      <c r="L329" s="127"/>
      <c r="M329" s="127"/>
      <c r="N329" s="127"/>
    </row>
    <row r="330" ht="30.0" customHeight="1">
      <c r="A330" s="127"/>
      <c r="B330" s="127"/>
      <c r="C330" s="127"/>
      <c r="D330" s="128"/>
      <c r="E330" s="129"/>
      <c r="F330" s="129"/>
      <c r="G330" s="129"/>
      <c r="H330" s="127"/>
      <c r="I330" s="127"/>
      <c r="J330" s="127"/>
      <c r="K330" s="127"/>
      <c r="L330" s="127"/>
      <c r="M330" s="127"/>
      <c r="N330" s="127"/>
    </row>
    <row r="331" ht="30.0" customHeight="1">
      <c r="A331" s="127"/>
      <c r="B331" s="127"/>
      <c r="C331" s="127"/>
      <c r="D331" s="128"/>
      <c r="E331" s="129"/>
      <c r="F331" s="129"/>
      <c r="G331" s="129"/>
      <c r="H331" s="127"/>
      <c r="I331" s="127"/>
      <c r="J331" s="127"/>
      <c r="K331" s="127"/>
      <c r="L331" s="127"/>
      <c r="M331" s="127"/>
      <c r="N331" s="127"/>
    </row>
    <row r="332" ht="30.0" customHeight="1">
      <c r="A332" s="127"/>
      <c r="B332" s="127"/>
      <c r="C332" s="127"/>
      <c r="D332" s="128"/>
      <c r="E332" s="129"/>
      <c r="F332" s="129"/>
      <c r="G332" s="129"/>
      <c r="H332" s="127"/>
      <c r="I332" s="127"/>
      <c r="J332" s="127"/>
      <c r="K332" s="127"/>
      <c r="L332" s="127"/>
      <c r="M332" s="127"/>
      <c r="N332" s="127"/>
    </row>
    <row r="333" ht="30.0" customHeight="1">
      <c r="A333" s="127"/>
      <c r="B333" s="127"/>
      <c r="C333" s="127"/>
      <c r="D333" s="128"/>
      <c r="E333" s="129"/>
      <c r="F333" s="129"/>
      <c r="G333" s="129"/>
      <c r="H333" s="127"/>
      <c r="I333" s="127"/>
      <c r="J333" s="127"/>
      <c r="K333" s="127"/>
      <c r="L333" s="127"/>
      <c r="M333" s="127"/>
      <c r="N333" s="127"/>
    </row>
    <row r="334" ht="30.0" customHeight="1">
      <c r="A334" s="127"/>
      <c r="B334" s="127"/>
      <c r="C334" s="127"/>
      <c r="D334" s="128"/>
      <c r="E334" s="129"/>
      <c r="F334" s="129"/>
      <c r="G334" s="129"/>
      <c r="H334" s="127"/>
      <c r="I334" s="127"/>
      <c r="J334" s="127"/>
      <c r="K334" s="127"/>
      <c r="L334" s="127"/>
      <c r="M334" s="127"/>
      <c r="N334" s="127"/>
    </row>
    <row r="335" ht="30.0" customHeight="1">
      <c r="A335" s="127"/>
      <c r="B335" s="127"/>
      <c r="C335" s="127"/>
      <c r="D335" s="128"/>
      <c r="E335" s="129"/>
      <c r="F335" s="129"/>
      <c r="G335" s="129"/>
      <c r="H335" s="127"/>
      <c r="I335" s="127"/>
      <c r="J335" s="127"/>
      <c r="K335" s="127"/>
      <c r="L335" s="127"/>
      <c r="M335" s="127"/>
      <c r="N335" s="127"/>
    </row>
    <row r="336" ht="30.0" customHeight="1">
      <c r="A336" s="127"/>
      <c r="B336" s="127"/>
      <c r="C336" s="127"/>
      <c r="D336" s="128"/>
      <c r="E336" s="129"/>
      <c r="F336" s="129"/>
      <c r="G336" s="129"/>
      <c r="H336" s="127"/>
      <c r="I336" s="127"/>
      <c r="J336" s="127"/>
      <c r="K336" s="127"/>
      <c r="L336" s="127"/>
      <c r="M336" s="127"/>
      <c r="N336" s="127"/>
    </row>
    <row r="337" ht="30.0" customHeight="1">
      <c r="A337" s="127"/>
      <c r="B337" s="127"/>
      <c r="C337" s="127"/>
      <c r="D337" s="128"/>
      <c r="E337" s="129"/>
      <c r="F337" s="129"/>
      <c r="G337" s="129"/>
      <c r="H337" s="127"/>
      <c r="I337" s="127"/>
      <c r="J337" s="127"/>
      <c r="K337" s="127"/>
      <c r="L337" s="127"/>
      <c r="M337" s="127"/>
      <c r="N337" s="127"/>
    </row>
    <row r="338" ht="30.0" customHeight="1">
      <c r="A338" s="127"/>
      <c r="B338" s="127"/>
      <c r="C338" s="127"/>
      <c r="D338" s="128"/>
      <c r="E338" s="129"/>
      <c r="F338" s="129"/>
      <c r="G338" s="129"/>
      <c r="H338" s="127"/>
      <c r="I338" s="127"/>
      <c r="J338" s="127"/>
      <c r="K338" s="127"/>
      <c r="L338" s="127"/>
      <c r="M338" s="127"/>
      <c r="N338" s="127"/>
    </row>
    <row r="339" ht="30.0" customHeight="1">
      <c r="A339" s="127"/>
      <c r="B339" s="127"/>
      <c r="C339" s="127"/>
      <c r="D339" s="128"/>
      <c r="E339" s="129"/>
      <c r="F339" s="129"/>
      <c r="G339" s="129"/>
      <c r="H339" s="127"/>
      <c r="I339" s="127"/>
      <c r="J339" s="127"/>
      <c r="K339" s="127"/>
      <c r="L339" s="127"/>
      <c r="M339" s="127"/>
      <c r="N339" s="127"/>
    </row>
    <row r="340" ht="30.0" customHeight="1">
      <c r="A340" s="127"/>
      <c r="B340" s="127"/>
      <c r="C340" s="127"/>
      <c r="D340" s="128"/>
      <c r="E340" s="129"/>
      <c r="F340" s="129"/>
      <c r="G340" s="129"/>
      <c r="H340" s="127"/>
      <c r="I340" s="127"/>
      <c r="J340" s="127"/>
      <c r="K340" s="127"/>
      <c r="L340" s="127"/>
      <c r="M340" s="127"/>
      <c r="N340" s="127"/>
    </row>
    <row r="341" ht="30.0" customHeight="1">
      <c r="A341" s="127"/>
      <c r="B341" s="127"/>
      <c r="C341" s="127"/>
      <c r="D341" s="128"/>
      <c r="E341" s="129"/>
      <c r="F341" s="129"/>
      <c r="G341" s="129"/>
      <c r="H341" s="127"/>
      <c r="I341" s="127"/>
      <c r="J341" s="127"/>
      <c r="K341" s="127"/>
      <c r="L341" s="127"/>
      <c r="M341" s="127"/>
      <c r="N341" s="127"/>
    </row>
    <row r="342" ht="30.0" customHeight="1">
      <c r="A342" s="127"/>
      <c r="B342" s="127"/>
      <c r="C342" s="127"/>
      <c r="D342" s="128"/>
      <c r="E342" s="129"/>
      <c r="F342" s="129"/>
      <c r="G342" s="129"/>
      <c r="H342" s="127"/>
      <c r="I342" s="127"/>
      <c r="J342" s="127"/>
      <c r="K342" s="127"/>
      <c r="L342" s="127"/>
      <c r="M342" s="127"/>
      <c r="N342" s="127"/>
    </row>
    <row r="343" ht="30.0" customHeight="1">
      <c r="A343" s="127"/>
      <c r="B343" s="127"/>
      <c r="C343" s="127"/>
      <c r="D343" s="128"/>
      <c r="E343" s="129"/>
      <c r="F343" s="129"/>
      <c r="G343" s="129"/>
      <c r="H343" s="127"/>
      <c r="I343" s="127"/>
      <c r="J343" s="127"/>
      <c r="K343" s="127"/>
      <c r="L343" s="127"/>
      <c r="M343" s="127"/>
      <c r="N343" s="127"/>
    </row>
    <row r="344" ht="30.0" customHeight="1">
      <c r="A344" s="127"/>
      <c r="B344" s="127"/>
      <c r="C344" s="127"/>
      <c r="D344" s="128"/>
      <c r="E344" s="129"/>
      <c r="F344" s="129"/>
      <c r="G344" s="129"/>
      <c r="H344" s="127"/>
      <c r="I344" s="127"/>
      <c r="J344" s="127"/>
      <c r="K344" s="127"/>
      <c r="L344" s="127"/>
      <c r="M344" s="127"/>
      <c r="N344" s="127"/>
    </row>
    <row r="345" ht="30.0" customHeight="1">
      <c r="A345" s="127"/>
      <c r="B345" s="127"/>
      <c r="C345" s="127"/>
      <c r="D345" s="128"/>
      <c r="E345" s="129"/>
      <c r="F345" s="129"/>
      <c r="G345" s="129"/>
      <c r="H345" s="127"/>
      <c r="I345" s="127"/>
      <c r="J345" s="127"/>
      <c r="K345" s="127"/>
      <c r="L345" s="127"/>
      <c r="M345" s="127"/>
      <c r="N345" s="127"/>
    </row>
    <row r="346" ht="30.0" customHeight="1">
      <c r="A346" s="127"/>
      <c r="B346" s="127"/>
      <c r="C346" s="127"/>
      <c r="D346" s="128"/>
      <c r="E346" s="129"/>
      <c r="F346" s="129"/>
      <c r="G346" s="129"/>
      <c r="H346" s="127"/>
      <c r="I346" s="127"/>
      <c r="J346" s="127"/>
      <c r="K346" s="127"/>
      <c r="L346" s="127"/>
      <c r="M346" s="127"/>
      <c r="N346" s="127"/>
    </row>
    <row r="347" ht="30.0" customHeight="1">
      <c r="A347" s="127"/>
      <c r="B347" s="127"/>
      <c r="C347" s="127"/>
      <c r="D347" s="128"/>
      <c r="E347" s="129"/>
      <c r="F347" s="129"/>
      <c r="G347" s="129"/>
      <c r="H347" s="127"/>
      <c r="I347" s="127"/>
      <c r="J347" s="127"/>
      <c r="K347" s="127"/>
      <c r="L347" s="127"/>
      <c r="M347" s="127"/>
      <c r="N347" s="127"/>
    </row>
    <row r="348" ht="30.0" customHeight="1">
      <c r="A348" s="127"/>
      <c r="B348" s="127"/>
      <c r="C348" s="127"/>
      <c r="D348" s="128"/>
      <c r="E348" s="129"/>
      <c r="F348" s="129"/>
      <c r="G348" s="129"/>
      <c r="H348" s="127"/>
      <c r="I348" s="127"/>
      <c r="J348" s="127"/>
      <c r="K348" s="127"/>
      <c r="L348" s="127"/>
      <c r="M348" s="127"/>
      <c r="N348" s="127"/>
    </row>
    <row r="349" ht="30.0" customHeight="1">
      <c r="A349" s="127"/>
      <c r="B349" s="127"/>
      <c r="C349" s="127"/>
      <c r="D349" s="128"/>
      <c r="E349" s="129"/>
      <c r="F349" s="129"/>
      <c r="G349" s="129"/>
      <c r="H349" s="127"/>
      <c r="I349" s="127"/>
      <c r="J349" s="127"/>
      <c r="K349" s="127"/>
      <c r="L349" s="127"/>
      <c r="M349" s="127"/>
      <c r="N349" s="127"/>
    </row>
    <row r="350" ht="30.0" customHeight="1">
      <c r="A350" s="127"/>
      <c r="B350" s="127"/>
      <c r="C350" s="127"/>
      <c r="D350" s="128"/>
      <c r="E350" s="129"/>
      <c r="F350" s="129"/>
      <c r="G350" s="129"/>
      <c r="H350" s="127"/>
      <c r="I350" s="127"/>
      <c r="J350" s="127"/>
      <c r="K350" s="127"/>
      <c r="L350" s="127"/>
      <c r="M350" s="127"/>
      <c r="N350" s="127"/>
    </row>
    <row r="351" ht="30.0" customHeight="1">
      <c r="A351" s="127"/>
      <c r="B351" s="127"/>
      <c r="C351" s="127"/>
      <c r="D351" s="128"/>
      <c r="E351" s="129"/>
      <c r="F351" s="129"/>
      <c r="G351" s="129"/>
      <c r="H351" s="127"/>
      <c r="I351" s="127"/>
      <c r="J351" s="127"/>
      <c r="K351" s="127"/>
      <c r="L351" s="127"/>
      <c r="M351" s="127"/>
      <c r="N351" s="127"/>
    </row>
    <row r="352" ht="30.0" customHeight="1">
      <c r="A352" s="127"/>
      <c r="B352" s="127"/>
      <c r="C352" s="127"/>
      <c r="D352" s="128"/>
      <c r="E352" s="129"/>
      <c r="F352" s="129"/>
      <c r="G352" s="129"/>
      <c r="H352" s="127"/>
      <c r="I352" s="127"/>
      <c r="J352" s="127"/>
      <c r="K352" s="127"/>
      <c r="L352" s="127"/>
      <c r="M352" s="127"/>
      <c r="N352" s="127"/>
    </row>
    <row r="353" ht="30.0" customHeight="1">
      <c r="A353" s="127"/>
      <c r="B353" s="127"/>
      <c r="C353" s="127"/>
      <c r="D353" s="128"/>
      <c r="E353" s="129"/>
      <c r="F353" s="129"/>
      <c r="G353" s="129"/>
      <c r="H353" s="127"/>
      <c r="I353" s="127"/>
      <c r="J353" s="127"/>
      <c r="K353" s="127"/>
      <c r="L353" s="127"/>
      <c r="M353" s="127"/>
      <c r="N353" s="127"/>
    </row>
    <row r="354" ht="30.0" customHeight="1">
      <c r="A354" s="127"/>
      <c r="B354" s="127"/>
      <c r="C354" s="127"/>
      <c r="D354" s="128"/>
      <c r="E354" s="129"/>
      <c r="F354" s="129"/>
      <c r="G354" s="129"/>
      <c r="H354" s="127"/>
      <c r="I354" s="127"/>
      <c r="J354" s="127"/>
      <c r="K354" s="127"/>
      <c r="L354" s="127"/>
      <c r="M354" s="127"/>
      <c r="N354" s="127"/>
    </row>
    <row r="355" ht="30.0" customHeight="1">
      <c r="A355" s="127"/>
      <c r="B355" s="127"/>
      <c r="C355" s="127"/>
      <c r="D355" s="128"/>
      <c r="E355" s="129"/>
      <c r="F355" s="129"/>
      <c r="G355" s="129"/>
      <c r="H355" s="127"/>
      <c r="I355" s="127"/>
      <c r="J355" s="127"/>
      <c r="K355" s="127"/>
      <c r="L355" s="127"/>
      <c r="M355" s="127"/>
      <c r="N355" s="127"/>
    </row>
    <row r="356" ht="30.0" customHeight="1">
      <c r="A356" s="127"/>
      <c r="B356" s="127"/>
      <c r="C356" s="127"/>
      <c r="D356" s="128"/>
      <c r="E356" s="129"/>
      <c r="F356" s="129"/>
      <c r="G356" s="129"/>
      <c r="H356" s="127"/>
      <c r="I356" s="127"/>
      <c r="J356" s="127"/>
      <c r="K356" s="127"/>
      <c r="L356" s="127"/>
      <c r="M356" s="127"/>
      <c r="N356" s="127"/>
    </row>
    <row r="357" ht="30.0" customHeight="1">
      <c r="A357" s="127"/>
      <c r="B357" s="127"/>
      <c r="C357" s="127"/>
      <c r="D357" s="128"/>
      <c r="E357" s="129"/>
      <c r="F357" s="129"/>
      <c r="G357" s="129"/>
      <c r="H357" s="127"/>
      <c r="I357" s="127"/>
      <c r="J357" s="127"/>
      <c r="K357" s="127"/>
      <c r="L357" s="127"/>
      <c r="M357" s="127"/>
      <c r="N357" s="127"/>
    </row>
    <row r="358" ht="30.0" customHeight="1">
      <c r="A358" s="127"/>
      <c r="B358" s="127"/>
      <c r="C358" s="127"/>
      <c r="D358" s="128"/>
      <c r="E358" s="129"/>
      <c r="F358" s="129"/>
      <c r="G358" s="129"/>
      <c r="H358" s="127"/>
      <c r="I358" s="127"/>
      <c r="J358" s="127"/>
      <c r="K358" s="127"/>
      <c r="L358" s="127"/>
      <c r="M358" s="127"/>
      <c r="N358" s="127"/>
    </row>
    <row r="359" ht="30.0" customHeight="1">
      <c r="A359" s="127"/>
      <c r="B359" s="127"/>
      <c r="C359" s="127"/>
      <c r="D359" s="128"/>
      <c r="E359" s="129"/>
      <c r="F359" s="129"/>
      <c r="G359" s="129"/>
      <c r="H359" s="127"/>
      <c r="I359" s="127"/>
      <c r="J359" s="127"/>
      <c r="K359" s="127"/>
      <c r="L359" s="127"/>
      <c r="M359" s="127"/>
      <c r="N359" s="127"/>
    </row>
    <row r="360" ht="30.0" customHeight="1">
      <c r="A360" s="127"/>
      <c r="B360" s="127"/>
      <c r="C360" s="127"/>
      <c r="D360" s="128"/>
      <c r="E360" s="129"/>
      <c r="F360" s="129"/>
      <c r="G360" s="129"/>
      <c r="H360" s="127"/>
      <c r="I360" s="127"/>
      <c r="J360" s="127"/>
      <c r="K360" s="127"/>
      <c r="L360" s="127"/>
      <c r="M360" s="127"/>
      <c r="N360" s="127"/>
    </row>
    <row r="361" ht="30.0" customHeight="1">
      <c r="A361" s="127"/>
      <c r="B361" s="127"/>
      <c r="C361" s="127"/>
      <c r="D361" s="128"/>
      <c r="E361" s="129"/>
      <c r="F361" s="129"/>
      <c r="G361" s="129"/>
      <c r="H361" s="127"/>
      <c r="I361" s="127"/>
      <c r="J361" s="127"/>
      <c r="K361" s="127"/>
      <c r="L361" s="127"/>
      <c r="M361" s="127"/>
      <c r="N361" s="127"/>
    </row>
    <row r="362" ht="30.0" customHeight="1">
      <c r="A362" s="127"/>
      <c r="B362" s="127"/>
      <c r="C362" s="127"/>
      <c r="D362" s="128"/>
      <c r="E362" s="129"/>
      <c r="F362" s="129"/>
      <c r="G362" s="129"/>
      <c r="H362" s="127"/>
      <c r="I362" s="127"/>
      <c r="J362" s="127"/>
      <c r="K362" s="127"/>
      <c r="L362" s="127"/>
      <c r="M362" s="127"/>
      <c r="N362" s="127"/>
    </row>
    <row r="363" ht="30.0" customHeight="1">
      <c r="A363" s="127"/>
      <c r="B363" s="127"/>
      <c r="C363" s="127"/>
      <c r="D363" s="128"/>
      <c r="E363" s="129"/>
      <c r="F363" s="129"/>
      <c r="G363" s="129"/>
      <c r="H363" s="127"/>
      <c r="I363" s="127"/>
      <c r="J363" s="127"/>
      <c r="K363" s="127"/>
      <c r="L363" s="127"/>
      <c r="M363" s="127"/>
      <c r="N363" s="127"/>
    </row>
    <row r="364" ht="30.0" customHeight="1">
      <c r="A364" s="127"/>
      <c r="B364" s="127"/>
      <c r="C364" s="127"/>
      <c r="D364" s="128"/>
      <c r="E364" s="129"/>
      <c r="F364" s="129"/>
      <c r="G364" s="129"/>
      <c r="H364" s="127"/>
      <c r="I364" s="127"/>
      <c r="J364" s="127"/>
      <c r="K364" s="127"/>
      <c r="L364" s="127"/>
      <c r="M364" s="127"/>
      <c r="N364" s="127"/>
    </row>
    <row r="365" ht="30.0" customHeight="1">
      <c r="A365" s="127"/>
      <c r="B365" s="127"/>
      <c r="C365" s="127"/>
      <c r="D365" s="128"/>
      <c r="E365" s="129"/>
      <c r="F365" s="129"/>
      <c r="G365" s="129"/>
      <c r="H365" s="127"/>
      <c r="I365" s="127"/>
      <c r="J365" s="127"/>
      <c r="K365" s="127"/>
      <c r="L365" s="127"/>
      <c r="M365" s="127"/>
      <c r="N365" s="127"/>
    </row>
    <row r="366" ht="30.0" customHeight="1">
      <c r="A366" s="127"/>
      <c r="B366" s="127"/>
      <c r="C366" s="127"/>
      <c r="D366" s="128"/>
      <c r="E366" s="129"/>
      <c r="F366" s="129"/>
      <c r="G366" s="129"/>
      <c r="H366" s="127"/>
      <c r="I366" s="127"/>
      <c r="J366" s="127"/>
      <c r="K366" s="127"/>
      <c r="L366" s="127"/>
      <c r="M366" s="127"/>
      <c r="N366" s="127"/>
    </row>
    <row r="367" ht="30.0" customHeight="1">
      <c r="A367" s="127"/>
      <c r="B367" s="127"/>
      <c r="C367" s="127"/>
      <c r="D367" s="128"/>
      <c r="E367" s="129"/>
      <c r="F367" s="129"/>
      <c r="G367" s="129"/>
      <c r="H367" s="127"/>
      <c r="I367" s="127"/>
      <c r="J367" s="127"/>
      <c r="K367" s="127"/>
      <c r="L367" s="127"/>
      <c r="M367" s="127"/>
      <c r="N367" s="127"/>
    </row>
    <row r="368" ht="30.0" customHeight="1">
      <c r="A368" s="127"/>
      <c r="B368" s="127"/>
      <c r="C368" s="127"/>
      <c r="D368" s="128"/>
      <c r="E368" s="129"/>
      <c r="F368" s="129"/>
      <c r="G368" s="129"/>
      <c r="H368" s="127"/>
      <c r="I368" s="127"/>
      <c r="J368" s="127"/>
      <c r="K368" s="127"/>
      <c r="L368" s="127"/>
      <c r="M368" s="127"/>
      <c r="N368" s="127"/>
    </row>
    <row r="369" ht="30.0" customHeight="1">
      <c r="A369" s="127"/>
      <c r="B369" s="127"/>
      <c r="C369" s="127"/>
      <c r="D369" s="128"/>
      <c r="E369" s="129"/>
      <c r="F369" s="129"/>
      <c r="G369" s="129"/>
      <c r="H369" s="127"/>
      <c r="I369" s="127"/>
      <c r="J369" s="127"/>
      <c r="K369" s="127"/>
      <c r="L369" s="127"/>
      <c r="M369" s="127"/>
      <c r="N369" s="127"/>
    </row>
    <row r="370" ht="30.0" customHeight="1">
      <c r="A370" s="127"/>
      <c r="B370" s="127"/>
      <c r="C370" s="127"/>
      <c r="D370" s="128"/>
      <c r="E370" s="129"/>
      <c r="F370" s="129"/>
      <c r="G370" s="129"/>
      <c r="H370" s="127"/>
      <c r="I370" s="127"/>
      <c r="J370" s="127"/>
      <c r="K370" s="127"/>
      <c r="L370" s="127"/>
      <c r="M370" s="127"/>
      <c r="N370" s="127"/>
    </row>
    <row r="371" ht="30.0" customHeight="1">
      <c r="A371" s="127"/>
      <c r="B371" s="127"/>
      <c r="C371" s="127"/>
      <c r="D371" s="128"/>
      <c r="E371" s="129"/>
      <c r="F371" s="129"/>
      <c r="G371" s="129"/>
      <c r="H371" s="127"/>
      <c r="I371" s="127"/>
      <c r="J371" s="127"/>
      <c r="K371" s="127"/>
      <c r="L371" s="127"/>
      <c r="M371" s="127"/>
      <c r="N371" s="127"/>
    </row>
    <row r="372" ht="30.0" customHeight="1">
      <c r="A372" s="127"/>
      <c r="B372" s="127"/>
      <c r="C372" s="127"/>
      <c r="D372" s="128"/>
      <c r="E372" s="129"/>
      <c r="F372" s="129"/>
      <c r="G372" s="129"/>
      <c r="H372" s="127"/>
      <c r="I372" s="127"/>
      <c r="J372" s="127"/>
      <c r="K372" s="127"/>
      <c r="L372" s="127"/>
      <c r="M372" s="127"/>
      <c r="N372" s="127"/>
    </row>
    <row r="373" ht="30.0" customHeight="1">
      <c r="A373" s="127"/>
      <c r="B373" s="127"/>
      <c r="C373" s="127"/>
      <c r="D373" s="128"/>
      <c r="E373" s="129"/>
      <c r="F373" s="129"/>
      <c r="G373" s="129"/>
      <c r="H373" s="127"/>
      <c r="I373" s="127"/>
      <c r="J373" s="127"/>
      <c r="K373" s="127"/>
      <c r="L373" s="127"/>
      <c r="M373" s="127"/>
      <c r="N373" s="127"/>
    </row>
    <row r="374" ht="30.0" customHeight="1">
      <c r="A374" s="127"/>
      <c r="B374" s="127"/>
      <c r="C374" s="127"/>
      <c r="D374" s="128"/>
      <c r="E374" s="129"/>
      <c r="F374" s="129"/>
      <c r="G374" s="129"/>
      <c r="H374" s="127"/>
      <c r="I374" s="127"/>
      <c r="J374" s="127"/>
      <c r="K374" s="127"/>
      <c r="L374" s="127"/>
      <c r="M374" s="127"/>
      <c r="N374" s="127"/>
    </row>
    <row r="375" ht="30.0" customHeight="1">
      <c r="A375" s="127"/>
      <c r="B375" s="127"/>
      <c r="C375" s="127"/>
      <c r="D375" s="128"/>
      <c r="E375" s="129"/>
      <c r="F375" s="129"/>
      <c r="G375" s="129"/>
      <c r="H375" s="127"/>
      <c r="I375" s="127"/>
      <c r="J375" s="127"/>
      <c r="K375" s="127"/>
      <c r="L375" s="127"/>
      <c r="M375" s="127"/>
      <c r="N375" s="127"/>
    </row>
    <row r="376" ht="30.0" customHeight="1">
      <c r="A376" s="127"/>
      <c r="B376" s="127"/>
      <c r="C376" s="127"/>
      <c r="D376" s="128"/>
      <c r="E376" s="129"/>
      <c r="F376" s="129"/>
      <c r="G376" s="129"/>
      <c r="H376" s="127"/>
      <c r="I376" s="127"/>
      <c r="J376" s="127"/>
      <c r="K376" s="127"/>
      <c r="L376" s="127"/>
      <c r="M376" s="127"/>
      <c r="N376" s="127"/>
    </row>
    <row r="377" ht="30.0" customHeight="1">
      <c r="A377" s="127"/>
      <c r="B377" s="127"/>
      <c r="C377" s="127"/>
      <c r="D377" s="128"/>
      <c r="E377" s="129"/>
      <c r="F377" s="129"/>
      <c r="G377" s="129"/>
      <c r="H377" s="127"/>
      <c r="I377" s="127"/>
      <c r="J377" s="127"/>
      <c r="K377" s="127"/>
      <c r="L377" s="127"/>
      <c r="M377" s="127"/>
      <c r="N377" s="127"/>
    </row>
    <row r="378" ht="30.0" customHeight="1">
      <c r="A378" s="127"/>
      <c r="B378" s="127"/>
      <c r="C378" s="127"/>
      <c r="D378" s="128"/>
      <c r="E378" s="129"/>
      <c r="F378" s="129"/>
      <c r="G378" s="129"/>
      <c r="H378" s="127"/>
      <c r="I378" s="127"/>
      <c r="J378" s="127"/>
      <c r="K378" s="127"/>
      <c r="L378" s="127"/>
      <c r="M378" s="127"/>
      <c r="N378" s="127"/>
    </row>
    <row r="379" ht="30.0" customHeight="1">
      <c r="A379" s="127"/>
      <c r="B379" s="127"/>
      <c r="C379" s="127"/>
      <c r="D379" s="128"/>
      <c r="E379" s="129"/>
      <c r="F379" s="129"/>
      <c r="G379" s="129"/>
      <c r="H379" s="127"/>
      <c r="I379" s="127"/>
      <c r="J379" s="127"/>
      <c r="K379" s="127"/>
      <c r="L379" s="127"/>
      <c r="M379" s="127"/>
      <c r="N379" s="127"/>
    </row>
    <row r="380" ht="30.0" customHeight="1">
      <c r="A380" s="127"/>
      <c r="B380" s="127"/>
      <c r="C380" s="127"/>
      <c r="D380" s="128"/>
      <c r="E380" s="129"/>
      <c r="F380" s="129"/>
      <c r="G380" s="129"/>
      <c r="H380" s="127"/>
      <c r="I380" s="127"/>
      <c r="J380" s="127"/>
      <c r="K380" s="127"/>
      <c r="L380" s="127"/>
      <c r="M380" s="127"/>
      <c r="N380" s="127"/>
    </row>
    <row r="381" ht="30.0" customHeight="1">
      <c r="A381" s="127"/>
      <c r="B381" s="127"/>
      <c r="C381" s="127"/>
      <c r="D381" s="128"/>
      <c r="E381" s="129"/>
      <c r="F381" s="129"/>
      <c r="G381" s="129"/>
      <c r="H381" s="127"/>
      <c r="I381" s="127"/>
      <c r="J381" s="127"/>
      <c r="K381" s="127"/>
      <c r="L381" s="127"/>
      <c r="M381" s="127"/>
      <c r="N381" s="127"/>
    </row>
    <row r="382" ht="30.0" customHeight="1">
      <c r="A382" s="127"/>
      <c r="B382" s="127"/>
      <c r="C382" s="127"/>
      <c r="D382" s="128"/>
      <c r="E382" s="129"/>
      <c r="F382" s="129"/>
      <c r="G382" s="129"/>
      <c r="H382" s="127"/>
      <c r="I382" s="127"/>
      <c r="J382" s="127"/>
      <c r="K382" s="127"/>
      <c r="L382" s="127"/>
      <c r="M382" s="127"/>
      <c r="N382" s="127"/>
    </row>
    <row r="383" ht="30.0" customHeight="1">
      <c r="A383" s="127"/>
      <c r="B383" s="127"/>
      <c r="C383" s="127"/>
      <c r="D383" s="128"/>
      <c r="E383" s="129"/>
      <c r="F383" s="129"/>
      <c r="G383" s="129"/>
      <c r="H383" s="127"/>
      <c r="I383" s="127"/>
      <c r="J383" s="127"/>
      <c r="K383" s="127"/>
      <c r="L383" s="127"/>
      <c r="M383" s="127"/>
      <c r="N383" s="127"/>
    </row>
    <row r="384" ht="30.0" customHeight="1">
      <c r="A384" s="127"/>
      <c r="B384" s="127"/>
      <c r="C384" s="127"/>
      <c r="D384" s="128"/>
      <c r="E384" s="129"/>
      <c r="F384" s="129"/>
      <c r="G384" s="129"/>
      <c r="H384" s="127"/>
      <c r="I384" s="127"/>
      <c r="J384" s="127"/>
      <c r="K384" s="127"/>
      <c r="L384" s="127"/>
      <c r="M384" s="127"/>
      <c r="N384" s="127"/>
    </row>
    <row r="385" ht="30.0" customHeight="1">
      <c r="A385" s="127"/>
      <c r="B385" s="127"/>
      <c r="C385" s="127"/>
      <c r="D385" s="128"/>
      <c r="E385" s="129"/>
      <c r="F385" s="129"/>
      <c r="G385" s="129"/>
      <c r="H385" s="127"/>
      <c r="I385" s="127"/>
      <c r="J385" s="127"/>
      <c r="K385" s="127"/>
      <c r="L385" s="127"/>
      <c r="M385" s="127"/>
      <c r="N385" s="127"/>
    </row>
    <row r="386" ht="30.0" customHeight="1">
      <c r="A386" s="127"/>
      <c r="B386" s="127"/>
      <c r="C386" s="127"/>
      <c r="D386" s="128"/>
      <c r="E386" s="129"/>
      <c r="F386" s="129"/>
      <c r="G386" s="129"/>
      <c r="H386" s="127"/>
      <c r="I386" s="127"/>
      <c r="J386" s="127"/>
      <c r="K386" s="127"/>
      <c r="L386" s="127"/>
      <c r="M386" s="127"/>
      <c r="N386" s="127"/>
    </row>
    <row r="387" ht="30.0" customHeight="1">
      <c r="A387" s="127"/>
      <c r="B387" s="127"/>
      <c r="C387" s="127"/>
      <c r="D387" s="128"/>
      <c r="E387" s="129"/>
      <c r="F387" s="129"/>
      <c r="G387" s="129"/>
      <c r="H387" s="127"/>
      <c r="I387" s="127"/>
      <c r="J387" s="127"/>
      <c r="K387" s="127"/>
      <c r="L387" s="127"/>
      <c r="M387" s="127"/>
      <c r="N387" s="127"/>
    </row>
    <row r="388" ht="30.0" customHeight="1">
      <c r="A388" s="127"/>
      <c r="B388" s="127"/>
      <c r="C388" s="127"/>
      <c r="D388" s="128"/>
      <c r="E388" s="129"/>
      <c r="F388" s="129"/>
      <c r="G388" s="129"/>
      <c r="H388" s="127"/>
      <c r="I388" s="127"/>
      <c r="J388" s="127"/>
      <c r="K388" s="127"/>
      <c r="L388" s="127"/>
      <c r="M388" s="127"/>
      <c r="N388" s="127"/>
    </row>
    <row r="389" ht="30.0" customHeight="1">
      <c r="A389" s="127"/>
      <c r="B389" s="127"/>
      <c r="C389" s="127"/>
      <c r="D389" s="128"/>
      <c r="E389" s="129"/>
      <c r="F389" s="129"/>
      <c r="G389" s="129"/>
      <c r="H389" s="127"/>
      <c r="I389" s="127"/>
      <c r="J389" s="127"/>
      <c r="K389" s="127"/>
      <c r="L389" s="127"/>
      <c r="M389" s="127"/>
      <c r="N389" s="127"/>
    </row>
    <row r="390" ht="30.0" customHeight="1">
      <c r="A390" s="127"/>
      <c r="B390" s="127"/>
      <c r="C390" s="127"/>
      <c r="D390" s="128"/>
      <c r="E390" s="129"/>
      <c r="F390" s="129"/>
      <c r="G390" s="129"/>
      <c r="H390" s="127"/>
      <c r="I390" s="127"/>
      <c r="J390" s="127"/>
      <c r="K390" s="127"/>
      <c r="L390" s="127"/>
      <c r="M390" s="127"/>
      <c r="N390" s="127"/>
    </row>
    <row r="391" ht="30.0" customHeight="1">
      <c r="A391" s="127"/>
      <c r="B391" s="127"/>
      <c r="C391" s="127"/>
      <c r="D391" s="128"/>
      <c r="E391" s="129"/>
      <c r="F391" s="129"/>
      <c r="G391" s="129"/>
      <c r="H391" s="127"/>
      <c r="I391" s="127"/>
      <c r="J391" s="127"/>
      <c r="K391" s="127"/>
      <c r="L391" s="127"/>
      <c r="M391" s="127"/>
      <c r="N391" s="127"/>
    </row>
    <row r="392" ht="30.0" customHeight="1">
      <c r="A392" s="127"/>
      <c r="B392" s="127"/>
      <c r="C392" s="127"/>
      <c r="D392" s="128"/>
      <c r="E392" s="129"/>
      <c r="F392" s="129"/>
      <c r="G392" s="129"/>
      <c r="H392" s="127"/>
      <c r="I392" s="127"/>
      <c r="J392" s="127"/>
      <c r="K392" s="127"/>
      <c r="L392" s="127"/>
      <c r="M392" s="127"/>
      <c r="N392" s="127"/>
    </row>
    <row r="393" ht="30.0" customHeight="1">
      <c r="A393" s="127"/>
      <c r="B393" s="127"/>
      <c r="C393" s="127"/>
      <c r="D393" s="128"/>
      <c r="E393" s="129"/>
      <c r="F393" s="129"/>
      <c r="G393" s="129"/>
      <c r="H393" s="127"/>
      <c r="I393" s="127"/>
      <c r="J393" s="127"/>
      <c r="K393" s="127"/>
      <c r="L393" s="127"/>
      <c r="M393" s="127"/>
      <c r="N393" s="127"/>
    </row>
    <row r="394" ht="30.0" customHeight="1">
      <c r="A394" s="127"/>
      <c r="B394" s="127"/>
      <c r="C394" s="127"/>
      <c r="D394" s="128"/>
      <c r="E394" s="129"/>
      <c r="F394" s="129"/>
      <c r="G394" s="129"/>
      <c r="H394" s="127"/>
      <c r="I394" s="127"/>
      <c r="J394" s="127"/>
      <c r="K394" s="127"/>
      <c r="L394" s="127"/>
      <c r="M394" s="127"/>
      <c r="N394" s="127"/>
    </row>
    <row r="395" ht="30.0" customHeight="1">
      <c r="A395" s="127"/>
      <c r="B395" s="127"/>
      <c r="C395" s="127"/>
      <c r="D395" s="128"/>
      <c r="E395" s="129"/>
      <c r="F395" s="129"/>
      <c r="G395" s="129"/>
      <c r="H395" s="127"/>
      <c r="I395" s="127"/>
      <c r="J395" s="127"/>
      <c r="K395" s="127"/>
      <c r="L395" s="127"/>
      <c r="M395" s="127"/>
      <c r="N395" s="127"/>
    </row>
    <row r="396" ht="30.0" customHeight="1">
      <c r="A396" s="127"/>
      <c r="B396" s="127"/>
      <c r="C396" s="127"/>
      <c r="D396" s="128"/>
      <c r="E396" s="129"/>
      <c r="F396" s="129"/>
      <c r="G396" s="129"/>
      <c r="H396" s="127"/>
      <c r="I396" s="127"/>
      <c r="J396" s="127"/>
      <c r="K396" s="127"/>
      <c r="L396" s="127"/>
      <c r="M396" s="127"/>
      <c r="N396" s="127"/>
    </row>
    <row r="397" ht="30.0" customHeight="1">
      <c r="A397" s="127"/>
      <c r="B397" s="127"/>
      <c r="C397" s="127"/>
      <c r="D397" s="128"/>
      <c r="E397" s="129"/>
      <c r="F397" s="129"/>
      <c r="G397" s="129"/>
      <c r="H397" s="127"/>
      <c r="I397" s="127"/>
      <c r="J397" s="127"/>
      <c r="K397" s="127"/>
      <c r="L397" s="127"/>
      <c r="M397" s="127"/>
      <c r="N397" s="127"/>
    </row>
    <row r="398" ht="30.0" customHeight="1">
      <c r="A398" s="127"/>
      <c r="B398" s="127"/>
      <c r="C398" s="127"/>
      <c r="D398" s="128"/>
      <c r="E398" s="129"/>
      <c r="F398" s="129"/>
      <c r="G398" s="129"/>
      <c r="H398" s="127"/>
      <c r="I398" s="127"/>
      <c r="J398" s="127"/>
      <c r="K398" s="127"/>
      <c r="L398" s="127"/>
      <c r="M398" s="127"/>
      <c r="N398" s="127"/>
    </row>
    <row r="399" ht="30.0" customHeight="1">
      <c r="A399" s="127"/>
      <c r="B399" s="127"/>
      <c r="C399" s="127"/>
      <c r="D399" s="128"/>
      <c r="E399" s="129"/>
      <c r="F399" s="129"/>
      <c r="G399" s="129"/>
      <c r="H399" s="127"/>
      <c r="I399" s="127"/>
      <c r="J399" s="127"/>
      <c r="K399" s="127"/>
      <c r="L399" s="127"/>
      <c r="M399" s="127"/>
      <c r="N399" s="127"/>
    </row>
    <row r="400" ht="30.0" customHeight="1">
      <c r="A400" s="127"/>
      <c r="B400" s="127"/>
      <c r="C400" s="127"/>
      <c r="D400" s="128"/>
      <c r="E400" s="129"/>
      <c r="F400" s="129"/>
      <c r="G400" s="129"/>
      <c r="H400" s="127"/>
      <c r="I400" s="127"/>
      <c r="J400" s="127"/>
      <c r="K400" s="127"/>
      <c r="L400" s="127"/>
      <c r="M400" s="127"/>
      <c r="N400" s="127"/>
    </row>
    <row r="401" ht="30.0" customHeight="1">
      <c r="A401" s="127"/>
      <c r="B401" s="127"/>
      <c r="C401" s="127"/>
      <c r="D401" s="128"/>
      <c r="E401" s="129"/>
      <c r="F401" s="129"/>
      <c r="G401" s="129"/>
      <c r="H401" s="127"/>
      <c r="I401" s="127"/>
      <c r="J401" s="127"/>
      <c r="K401" s="127"/>
      <c r="L401" s="127"/>
      <c r="M401" s="127"/>
      <c r="N401" s="127"/>
    </row>
    <row r="402" ht="30.0" customHeight="1">
      <c r="A402" s="127"/>
      <c r="B402" s="127"/>
      <c r="C402" s="127"/>
      <c r="D402" s="128"/>
      <c r="E402" s="129"/>
      <c r="F402" s="129"/>
      <c r="G402" s="129"/>
      <c r="H402" s="127"/>
      <c r="I402" s="127"/>
      <c r="J402" s="127"/>
      <c r="K402" s="127"/>
      <c r="L402" s="127"/>
      <c r="M402" s="127"/>
      <c r="N402" s="127"/>
    </row>
    <row r="403" ht="30.0" customHeight="1">
      <c r="A403" s="127"/>
      <c r="B403" s="127"/>
      <c r="C403" s="127"/>
      <c r="D403" s="128"/>
      <c r="E403" s="129"/>
      <c r="F403" s="129"/>
      <c r="G403" s="129"/>
      <c r="H403" s="127"/>
      <c r="I403" s="127"/>
      <c r="J403" s="127"/>
      <c r="K403" s="127"/>
      <c r="L403" s="127"/>
      <c r="M403" s="127"/>
      <c r="N403" s="127"/>
    </row>
    <row r="404" ht="30.0" customHeight="1">
      <c r="A404" s="127"/>
      <c r="B404" s="127"/>
      <c r="C404" s="127"/>
      <c r="D404" s="128"/>
      <c r="E404" s="129"/>
      <c r="F404" s="129"/>
      <c r="G404" s="129"/>
      <c r="H404" s="127"/>
      <c r="I404" s="127"/>
      <c r="J404" s="127"/>
      <c r="K404" s="127"/>
      <c r="L404" s="127"/>
      <c r="M404" s="127"/>
      <c r="N404" s="127"/>
    </row>
    <row r="405" ht="30.0" customHeight="1">
      <c r="A405" s="127"/>
      <c r="B405" s="127"/>
      <c r="C405" s="127"/>
      <c r="D405" s="128"/>
      <c r="E405" s="129"/>
      <c r="F405" s="129"/>
      <c r="G405" s="129"/>
      <c r="H405" s="127"/>
      <c r="I405" s="127"/>
      <c r="J405" s="127"/>
      <c r="K405" s="127"/>
      <c r="L405" s="127"/>
      <c r="M405" s="127"/>
      <c r="N405" s="127"/>
    </row>
    <row r="406" ht="30.0" customHeight="1">
      <c r="A406" s="127"/>
      <c r="B406" s="127"/>
      <c r="C406" s="127"/>
      <c r="D406" s="128"/>
      <c r="E406" s="129"/>
      <c r="F406" s="129"/>
      <c r="G406" s="129"/>
      <c r="H406" s="127"/>
      <c r="I406" s="127"/>
      <c r="J406" s="127"/>
      <c r="K406" s="127"/>
      <c r="L406" s="127"/>
      <c r="M406" s="127"/>
      <c r="N406" s="127"/>
    </row>
    <row r="407" ht="30.0" customHeight="1">
      <c r="A407" s="127"/>
      <c r="B407" s="127"/>
      <c r="C407" s="127"/>
      <c r="D407" s="128"/>
      <c r="E407" s="129"/>
      <c r="F407" s="129"/>
      <c r="G407" s="129"/>
      <c r="H407" s="127"/>
      <c r="I407" s="127"/>
      <c r="J407" s="127"/>
      <c r="K407" s="127"/>
      <c r="L407" s="127"/>
      <c r="M407" s="127"/>
      <c r="N407" s="127"/>
    </row>
    <row r="408" ht="30.0" customHeight="1">
      <c r="A408" s="127"/>
      <c r="B408" s="127"/>
      <c r="C408" s="127"/>
      <c r="D408" s="128"/>
      <c r="E408" s="129"/>
      <c r="F408" s="129"/>
      <c r="G408" s="129"/>
      <c r="H408" s="127"/>
      <c r="I408" s="127"/>
      <c r="J408" s="127"/>
      <c r="K408" s="127"/>
      <c r="L408" s="127"/>
      <c r="M408" s="127"/>
      <c r="N408" s="127"/>
    </row>
    <row r="409" ht="30.0" customHeight="1">
      <c r="A409" s="127"/>
      <c r="B409" s="127"/>
      <c r="C409" s="127"/>
      <c r="D409" s="128"/>
      <c r="E409" s="129"/>
      <c r="F409" s="129"/>
      <c r="G409" s="129"/>
      <c r="H409" s="127"/>
      <c r="I409" s="127"/>
      <c r="J409" s="127"/>
      <c r="K409" s="127"/>
      <c r="L409" s="127"/>
      <c r="M409" s="127"/>
      <c r="N409" s="127"/>
    </row>
    <row r="410" ht="30.0" customHeight="1">
      <c r="A410" s="127"/>
      <c r="B410" s="127"/>
      <c r="C410" s="127"/>
      <c r="D410" s="128"/>
      <c r="E410" s="129"/>
      <c r="F410" s="129"/>
      <c r="G410" s="129"/>
      <c r="H410" s="127"/>
      <c r="I410" s="127"/>
      <c r="J410" s="127"/>
      <c r="K410" s="127"/>
      <c r="L410" s="127"/>
      <c r="M410" s="127"/>
      <c r="N410" s="127"/>
    </row>
    <row r="411" ht="30.0" customHeight="1">
      <c r="A411" s="127"/>
      <c r="B411" s="127"/>
      <c r="C411" s="127"/>
      <c r="D411" s="128"/>
      <c r="E411" s="129"/>
      <c r="F411" s="129"/>
      <c r="G411" s="129"/>
      <c r="H411" s="127"/>
      <c r="I411" s="127"/>
      <c r="J411" s="127"/>
      <c r="K411" s="127"/>
      <c r="L411" s="127"/>
      <c r="M411" s="127"/>
      <c r="N411" s="127"/>
    </row>
    <row r="412" ht="30.0" customHeight="1">
      <c r="A412" s="127"/>
      <c r="B412" s="127"/>
      <c r="C412" s="127"/>
      <c r="D412" s="128"/>
      <c r="E412" s="129"/>
      <c r="F412" s="129"/>
      <c r="G412" s="129"/>
      <c r="H412" s="127"/>
      <c r="I412" s="127"/>
      <c r="J412" s="127"/>
      <c r="K412" s="127"/>
      <c r="L412" s="127"/>
      <c r="M412" s="127"/>
      <c r="N412" s="127"/>
    </row>
    <row r="413" ht="30.0" customHeight="1">
      <c r="A413" s="127"/>
      <c r="B413" s="127"/>
      <c r="C413" s="127"/>
      <c r="D413" s="128"/>
      <c r="E413" s="129"/>
      <c r="F413" s="129"/>
      <c r="G413" s="129"/>
      <c r="H413" s="127"/>
      <c r="I413" s="127"/>
      <c r="J413" s="127"/>
      <c r="K413" s="127"/>
      <c r="L413" s="127"/>
      <c r="M413" s="127"/>
      <c r="N413" s="127"/>
    </row>
    <row r="414" ht="30.0" customHeight="1">
      <c r="A414" s="127"/>
      <c r="B414" s="127"/>
      <c r="C414" s="127"/>
      <c r="D414" s="128"/>
      <c r="E414" s="129"/>
      <c r="F414" s="129"/>
      <c r="G414" s="129"/>
      <c r="H414" s="127"/>
      <c r="I414" s="127"/>
      <c r="J414" s="127"/>
      <c r="K414" s="127"/>
      <c r="L414" s="127"/>
      <c r="M414" s="127"/>
      <c r="N414" s="127"/>
    </row>
    <row r="415" ht="30.0" customHeight="1">
      <c r="A415" s="127"/>
      <c r="B415" s="127"/>
      <c r="C415" s="127"/>
      <c r="D415" s="128"/>
      <c r="E415" s="129"/>
      <c r="F415" s="129"/>
      <c r="G415" s="129"/>
      <c r="H415" s="127"/>
      <c r="I415" s="127"/>
      <c r="J415" s="127"/>
      <c r="K415" s="127"/>
      <c r="L415" s="127"/>
      <c r="M415" s="127"/>
      <c r="N415" s="127"/>
    </row>
    <row r="416" ht="30.0" customHeight="1">
      <c r="A416" s="127"/>
      <c r="B416" s="127"/>
      <c r="C416" s="127"/>
      <c r="D416" s="128"/>
      <c r="E416" s="129"/>
      <c r="F416" s="129"/>
      <c r="G416" s="129"/>
      <c r="H416" s="127"/>
      <c r="I416" s="127"/>
      <c r="J416" s="127"/>
      <c r="K416" s="127"/>
      <c r="L416" s="127"/>
      <c r="M416" s="127"/>
      <c r="N416" s="127"/>
    </row>
    <row r="417" ht="30.0" customHeight="1">
      <c r="A417" s="127"/>
      <c r="B417" s="127"/>
      <c r="C417" s="127"/>
      <c r="D417" s="128"/>
      <c r="E417" s="129"/>
      <c r="F417" s="129"/>
      <c r="G417" s="129"/>
      <c r="H417" s="127"/>
      <c r="I417" s="127"/>
      <c r="J417" s="127"/>
      <c r="K417" s="127"/>
      <c r="L417" s="127"/>
      <c r="M417" s="127"/>
      <c r="N417" s="127"/>
    </row>
    <row r="418" ht="30.0" customHeight="1">
      <c r="A418" s="127"/>
      <c r="B418" s="127"/>
      <c r="C418" s="127"/>
      <c r="D418" s="128"/>
      <c r="E418" s="129"/>
      <c r="F418" s="129"/>
      <c r="G418" s="129"/>
      <c r="H418" s="127"/>
      <c r="I418" s="127"/>
      <c r="J418" s="127"/>
      <c r="K418" s="127"/>
      <c r="L418" s="127"/>
      <c r="M418" s="127"/>
      <c r="N418" s="127"/>
    </row>
    <row r="419" ht="30.0" customHeight="1">
      <c r="A419" s="127"/>
      <c r="B419" s="127"/>
      <c r="C419" s="127"/>
      <c r="D419" s="128"/>
      <c r="E419" s="129"/>
      <c r="F419" s="129"/>
      <c r="G419" s="129"/>
      <c r="H419" s="127"/>
      <c r="I419" s="127"/>
      <c r="J419" s="127"/>
      <c r="K419" s="127"/>
      <c r="L419" s="127"/>
      <c r="M419" s="127"/>
      <c r="N419" s="127"/>
    </row>
    <row r="420" ht="30.0" customHeight="1">
      <c r="A420" s="127"/>
      <c r="B420" s="127"/>
      <c r="C420" s="127"/>
      <c r="D420" s="128"/>
      <c r="E420" s="129"/>
      <c r="F420" s="129"/>
      <c r="G420" s="129"/>
      <c r="H420" s="127"/>
      <c r="I420" s="127"/>
      <c r="J420" s="127"/>
      <c r="K420" s="127"/>
      <c r="L420" s="127"/>
      <c r="M420" s="127"/>
      <c r="N420" s="127"/>
    </row>
    <row r="421" ht="30.0" customHeight="1">
      <c r="A421" s="127"/>
      <c r="B421" s="127"/>
      <c r="C421" s="127"/>
      <c r="D421" s="128"/>
      <c r="E421" s="129"/>
      <c r="F421" s="129"/>
      <c r="G421" s="129"/>
      <c r="H421" s="127"/>
      <c r="I421" s="127"/>
      <c r="J421" s="127"/>
      <c r="K421" s="127"/>
      <c r="L421" s="127"/>
      <c r="M421" s="127"/>
      <c r="N421" s="127"/>
    </row>
    <row r="422" ht="30.0" customHeight="1">
      <c r="A422" s="127"/>
      <c r="B422" s="127"/>
      <c r="C422" s="127"/>
      <c r="D422" s="128"/>
      <c r="E422" s="129"/>
      <c r="F422" s="129"/>
      <c r="G422" s="129"/>
      <c r="H422" s="127"/>
      <c r="I422" s="127"/>
      <c r="J422" s="127"/>
      <c r="K422" s="127"/>
      <c r="L422" s="127"/>
      <c r="M422" s="127"/>
      <c r="N422" s="127"/>
    </row>
    <row r="423" ht="30.0" customHeight="1">
      <c r="A423" s="127"/>
      <c r="B423" s="127"/>
      <c r="C423" s="127"/>
      <c r="D423" s="128"/>
      <c r="E423" s="129"/>
      <c r="F423" s="129"/>
      <c r="G423" s="129"/>
      <c r="H423" s="127"/>
      <c r="I423" s="127"/>
      <c r="J423" s="127"/>
      <c r="K423" s="127"/>
      <c r="L423" s="127"/>
      <c r="M423" s="127"/>
      <c r="N423" s="127"/>
    </row>
    <row r="424" ht="30.0" customHeight="1">
      <c r="A424" s="127"/>
      <c r="B424" s="127"/>
      <c r="C424" s="127"/>
      <c r="D424" s="128"/>
      <c r="E424" s="129"/>
      <c r="F424" s="129"/>
      <c r="G424" s="129"/>
      <c r="H424" s="127"/>
      <c r="I424" s="127"/>
      <c r="J424" s="127"/>
      <c r="K424" s="127"/>
      <c r="L424" s="127"/>
      <c r="M424" s="127"/>
      <c r="N424" s="127"/>
    </row>
    <row r="425" ht="30.0" customHeight="1">
      <c r="A425" s="127"/>
      <c r="B425" s="127"/>
      <c r="C425" s="127"/>
      <c r="D425" s="128"/>
      <c r="E425" s="129"/>
      <c r="F425" s="129"/>
      <c r="G425" s="129"/>
      <c r="H425" s="127"/>
      <c r="I425" s="127"/>
      <c r="J425" s="127"/>
      <c r="K425" s="127"/>
      <c r="L425" s="127"/>
      <c r="M425" s="127"/>
      <c r="N425" s="127"/>
    </row>
    <row r="426" ht="30.0" customHeight="1">
      <c r="A426" s="127"/>
      <c r="B426" s="127"/>
      <c r="C426" s="127"/>
      <c r="D426" s="128"/>
      <c r="E426" s="129"/>
      <c r="F426" s="129"/>
      <c r="G426" s="129"/>
      <c r="H426" s="127"/>
      <c r="I426" s="127"/>
      <c r="J426" s="127"/>
      <c r="K426" s="127"/>
      <c r="L426" s="127"/>
      <c r="M426" s="127"/>
      <c r="N426" s="127"/>
    </row>
    <row r="427" ht="30.0" customHeight="1">
      <c r="A427" s="127"/>
      <c r="B427" s="127"/>
      <c r="C427" s="127"/>
      <c r="D427" s="128"/>
      <c r="E427" s="129"/>
      <c r="F427" s="129"/>
      <c r="G427" s="129"/>
      <c r="H427" s="127"/>
      <c r="I427" s="127"/>
      <c r="J427" s="127"/>
      <c r="K427" s="127"/>
      <c r="L427" s="127"/>
      <c r="M427" s="127"/>
      <c r="N427" s="127"/>
    </row>
    <row r="428" ht="30.0" customHeight="1">
      <c r="A428" s="127"/>
      <c r="B428" s="127"/>
      <c r="C428" s="127"/>
      <c r="D428" s="128"/>
      <c r="E428" s="129"/>
      <c r="F428" s="129"/>
      <c r="G428" s="129"/>
      <c r="H428" s="127"/>
      <c r="I428" s="127"/>
      <c r="J428" s="127"/>
      <c r="K428" s="127"/>
      <c r="L428" s="127"/>
      <c r="M428" s="127"/>
      <c r="N428" s="127"/>
    </row>
    <row r="429" ht="30.0" customHeight="1">
      <c r="A429" s="127"/>
      <c r="B429" s="127"/>
      <c r="C429" s="127"/>
      <c r="D429" s="128"/>
      <c r="E429" s="129"/>
      <c r="F429" s="129"/>
      <c r="G429" s="129"/>
      <c r="H429" s="127"/>
      <c r="I429" s="127"/>
      <c r="J429" s="127"/>
      <c r="K429" s="127"/>
      <c r="L429" s="127"/>
      <c r="M429" s="127"/>
      <c r="N429" s="127"/>
    </row>
    <row r="430" ht="30.0" customHeight="1">
      <c r="A430" s="127"/>
      <c r="B430" s="127"/>
      <c r="C430" s="127"/>
      <c r="D430" s="128"/>
      <c r="E430" s="129"/>
      <c r="F430" s="129"/>
      <c r="G430" s="129"/>
      <c r="H430" s="127"/>
      <c r="I430" s="127"/>
      <c r="J430" s="127"/>
      <c r="K430" s="127"/>
      <c r="L430" s="127"/>
      <c r="M430" s="127"/>
      <c r="N430" s="127"/>
    </row>
    <row r="431" ht="30.0" customHeight="1">
      <c r="A431" s="127"/>
      <c r="B431" s="127"/>
      <c r="C431" s="127"/>
      <c r="D431" s="128"/>
      <c r="E431" s="129"/>
      <c r="F431" s="129"/>
      <c r="G431" s="129"/>
      <c r="H431" s="127"/>
      <c r="I431" s="127"/>
      <c r="J431" s="127"/>
      <c r="K431" s="127"/>
      <c r="L431" s="127"/>
      <c r="M431" s="127"/>
      <c r="N431" s="127"/>
    </row>
    <row r="432" ht="30.0" customHeight="1">
      <c r="A432" s="127"/>
      <c r="B432" s="127"/>
      <c r="C432" s="127"/>
      <c r="D432" s="128"/>
      <c r="E432" s="129"/>
      <c r="F432" s="129"/>
      <c r="G432" s="129"/>
      <c r="H432" s="127"/>
      <c r="I432" s="127"/>
      <c r="J432" s="127"/>
      <c r="K432" s="127"/>
      <c r="L432" s="127"/>
      <c r="M432" s="127"/>
      <c r="N432" s="127"/>
    </row>
    <row r="433" ht="30.0" customHeight="1">
      <c r="A433" s="127"/>
      <c r="B433" s="127"/>
      <c r="C433" s="127"/>
      <c r="D433" s="128"/>
      <c r="E433" s="129"/>
      <c r="F433" s="129"/>
      <c r="G433" s="129"/>
      <c r="H433" s="127"/>
      <c r="I433" s="127"/>
      <c r="J433" s="127"/>
      <c r="K433" s="127"/>
      <c r="L433" s="127"/>
      <c r="M433" s="127"/>
      <c r="N433" s="127"/>
    </row>
    <row r="434" ht="30.0" customHeight="1">
      <c r="A434" s="127"/>
      <c r="B434" s="127"/>
      <c r="C434" s="127"/>
      <c r="D434" s="128"/>
      <c r="E434" s="129"/>
      <c r="F434" s="129"/>
      <c r="G434" s="129"/>
      <c r="H434" s="127"/>
      <c r="I434" s="127"/>
      <c r="J434" s="127"/>
      <c r="K434" s="127"/>
      <c r="L434" s="127"/>
      <c r="M434" s="127"/>
      <c r="N434" s="127"/>
    </row>
    <row r="435" ht="30.0" customHeight="1">
      <c r="A435" s="127"/>
      <c r="B435" s="127"/>
      <c r="C435" s="127"/>
      <c r="D435" s="128"/>
      <c r="E435" s="129"/>
      <c r="F435" s="129"/>
      <c r="G435" s="129"/>
      <c r="H435" s="127"/>
      <c r="I435" s="127"/>
      <c r="J435" s="127"/>
      <c r="K435" s="127"/>
      <c r="L435" s="127"/>
      <c r="M435" s="127"/>
      <c r="N435" s="127"/>
    </row>
    <row r="436" ht="30.0" customHeight="1">
      <c r="A436" s="127"/>
      <c r="B436" s="127"/>
      <c r="C436" s="127"/>
      <c r="D436" s="128"/>
      <c r="E436" s="129"/>
      <c r="F436" s="129"/>
      <c r="G436" s="129"/>
      <c r="H436" s="127"/>
      <c r="I436" s="127"/>
      <c r="J436" s="127"/>
      <c r="K436" s="127"/>
      <c r="L436" s="127"/>
      <c r="M436" s="127"/>
      <c r="N436" s="127"/>
    </row>
    <row r="437" ht="30.0" customHeight="1">
      <c r="A437" s="127"/>
      <c r="B437" s="127"/>
      <c r="C437" s="127"/>
      <c r="D437" s="128"/>
      <c r="E437" s="129"/>
      <c r="F437" s="129"/>
      <c r="G437" s="129"/>
      <c r="H437" s="127"/>
      <c r="I437" s="127"/>
      <c r="J437" s="127"/>
      <c r="K437" s="127"/>
      <c r="L437" s="127"/>
      <c r="M437" s="127"/>
      <c r="N437" s="127"/>
    </row>
    <row r="438" ht="30.0" customHeight="1">
      <c r="A438" s="127"/>
      <c r="B438" s="127"/>
      <c r="C438" s="127"/>
      <c r="D438" s="128"/>
      <c r="E438" s="129"/>
      <c r="F438" s="129"/>
      <c r="G438" s="129"/>
      <c r="H438" s="127"/>
      <c r="I438" s="127"/>
      <c r="J438" s="127"/>
      <c r="K438" s="127"/>
      <c r="L438" s="127"/>
      <c r="M438" s="127"/>
      <c r="N438" s="127"/>
    </row>
    <row r="439" ht="30.0" customHeight="1">
      <c r="A439" s="127"/>
      <c r="B439" s="127"/>
      <c r="C439" s="127"/>
      <c r="D439" s="128"/>
      <c r="E439" s="129"/>
      <c r="F439" s="129"/>
      <c r="G439" s="129"/>
      <c r="H439" s="127"/>
      <c r="I439" s="127"/>
      <c r="J439" s="127"/>
      <c r="K439" s="127"/>
      <c r="L439" s="127"/>
      <c r="M439" s="127"/>
      <c r="N439" s="127"/>
    </row>
    <row r="440" ht="30.0" customHeight="1">
      <c r="A440" s="127"/>
      <c r="B440" s="127"/>
      <c r="C440" s="127"/>
      <c r="D440" s="128"/>
      <c r="E440" s="129"/>
      <c r="F440" s="129"/>
      <c r="G440" s="129"/>
      <c r="H440" s="127"/>
      <c r="I440" s="127"/>
      <c r="J440" s="127"/>
      <c r="K440" s="127"/>
      <c r="L440" s="127"/>
      <c r="M440" s="127"/>
      <c r="N440" s="127"/>
    </row>
    <row r="441" ht="30.0" customHeight="1">
      <c r="A441" s="127"/>
      <c r="B441" s="127"/>
      <c r="C441" s="127"/>
      <c r="D441" s="128"/>
      <c r="E441" s="129"/>
      <c r="F441" s="129"/>
      <c r="G441" s="129"/>
      <c r="H441" s="127"/>
      <c r="I441" s="127"/>
      <c r="J441" s="127"/>
      <c r="K441" s="127"/>
      <c r="L441" s="127"/>
      <c r="M441" s="127"/>
      <c r="N441" s="127"/>
    </row>
    <row r="442" ht="30.0" customHeight="1">
      <c r="A442" s="127"/>
      <c r="B442" s="127"/>
      <c r="C442" s="127"/>
      <c r="D442" s="128"/>
      <c r="E442" s="129"/>
      <c r="F442" s="129"/>
      <c r="G442" s="129"/>
      <c r="H442" s="127"/>
      <c r="I442" s="127"/>
      <c r="J442" s="127"/>
      <c r="K442" s="127"/>
      <c r="L442" s="127"/>
      <c r="M442" s="127"/>
      <c r="N442" s="127"/>
    </row>
    <row r="443" ht="30.0" customHeight="1">
      <c r="A443" s="127"/>
      <c r="B443" s="127"/>
      <c r="C443" s="127"/>
      <c r="D443" s="128"/>
      <c r="E443" s="129"/>
      <c r="F443" s="129"/>
      <c r="G443" s="129"/>
      <c r="H443" s="127"/>
      <c r="I443" s="127"/>
      <c r="J443" s="127"/>
      <c r="K443" s="127"/>
      <c r="L443" s="127"/>
      <c r="M443" s="127"/>
      <c r="N443" s="127"/>
    </row>
    <row r="444" ht="30.0" customHeight="1">
      <c r="A444" s="127"/>
      <c r="B444" s="127"/>
      <c r="C444" s="127"/>
      <c r="D444" s="128"/>
      <c r="E444" s="129"/>
      <c r="F444" s="129"/>
      <c r="G444" s="129"/>
      <c r="H444" s="127"/>
      <c r="I444" s="127"/>
      <c r="J444" s="127"/>
      <c r="K444" s="127"/>
      <c r="L444" s="127"/>
      <c r="M444" s="127"/>
      <c r="N444" s="127"/>
    </row>
    <row r="445" ht="30.0" customHeight="1">
      <c r="A445" s="127"/>
      <c r="B445" s="127"/>
      <c r="C445" s="127"/>
      <c r="D445" s="128"/>
      <c r="E445" s="129"/>
      <c r="F445" s="129"/>
      <c r="G445" s="129"/>
      <c r="H445" s="127"/>
      <c r="I445" s="127"/>
      <c r="J445" s="127"/>
      <c r="K445" s="127"/>
      <c r="L445" s="127"/>
      <c r="M445" s="127"/>
      <c r="N445" s="127"/>
    </row>
    <row r="446" ht="30.0" customHeight="1">
      <c r="A446" s="127"/>
      <c r="B446" s="127"/>
      <c r="C446" s="127"/>
      <c r="D446" s="128"/>
      <c r="E446" s="129"/>
      <c r="F446" s="129"/>
      <c r="G446" s="129"/>
      <c r="H446" s="127"/>
      <c r="I446" s="127"/>
      <c r="J446" s="127"/>
      <c r="K446" s="127"/>
      <c r="L446" s="127"/>
      <c r="M446" s="127"/>
      <c r="N446" s="127"/>
    </row>
    <row r="447" ht="30.0" customHeight="1">
      <c r="A447" s="127"/>
      <c r="B447" s="127"/>
      <c r="C447" s="127"/>
      <c r="D447" s="128"/>
      <c r="E447" s="129"/>
      <c r="F447" s="129"/>
      <c r="G447" s="129"/>
      <c r="H447" s="127"/>
      <c r="I447" s="127"/>
      <c r="J447" s="127"/>
      <c r="K447" s="127"/>
      <c r="L447" s="127"/>
      <c r="M447" s="127"/>
      <c r="N447" s="127"/>
    </row>
    <row r="448" ht="30.0" customHeight="1">
      <c r="A448" s="127"/>
      <c r="B448" s="127"/>
      <c r="C448" s="127"/>
      <c r="D448" s="128"/>
      <c r="E448" s="129"/>
      <c r="F448" s="129"/>
      <c r="G448" s="129"/>
      <c r="H448" s="127"/>
      <c r="I448" s="127"/>
      <c r="J448" s="127"/>
      <c r="K448" s="127"/>
      <c r="L448" s="127"/>
      <c r="M448" s="127"/>
      <c r="N448" s="127"/>
    </row>
    <row r="449" ht="30.0" customHeight="1">
      <c r="A449" s="127"/>
      <c r="B449" s="127"/>
      <c r="C449" s="127"/>
      <c r="D449" s="128"/>
      <c r="E449" s="129"/>
      <c r="F449" s="129"/>
      <c r="G449" s="129"/>
      <c r="H449" s="127"/>
      <c r="I449" s="127"/>
      <c r="J449" s="127"/>
      <c r="K449" s="127"/>
      <c r="L449" s="127"/>
      <c r="M449" s="127"/>
      <c r="N449" s="127"/>
    </row>
    <row r="450" ht="30.0" customHeight="1">
      <c r="A450" s="127"/>
      <c r="B450" s="127"/>
      <c r="C450" s="127"/>
      <c r="D450" s="128"/>
      <c r="E450" s="129"/>
      <c r="F450" s="129"/>
      <c r="G450" s="129"/>
      <c r="H450" s="127"/>
      <c r="I450" s="127"/>
      <c r="J450" s="127"/>
      <c r="K450" s="127"/>
      <c r="L450" s="127"/>
      <c r="M450" s="127"/>
      <c r="N450" s="127"/>
    </row>
    <row r="451" ht="30.0" customHeight="1">
      <c r="A451" s="127"/>
      <c r="B451" s="127"/>
      <c r="C451" s="127"/>
      <c r="D451" s="128"/>
      <c r="E451" s="129"/>
      <c r="F451" s="129"/>
      <c r="G451" s="129"/>
      <c r="H451" s="127"/>
      <c r="I451" s="127"/>
      <c r="J451" s="127"/>
      <c r="K451" s="127"/>
      <c r="L451" s="127"/>
      <c r="M451" s="127"/>
      <c r="N451" s="127"/>
    </row>
    <row r="452" ht="30.0" customHeight="1">
      <c r="A452" s="127"/>
      <c r="B452" s="127"/>
      <c r="C452" s="127"/>
      <c r="D452" s="128"/>
      <c r="E452" s="129"/>
      <c r="F452" s="129"/>
      <c r="G452" s="129"/>
      <c r="H452" s="127"/>
      <c r="I452" s="127"/>
      <c r="J452" s="127"/>
      <c r="K452" s="127"/>
      <c r="L452" s="127"/>
      <c r="M452" s="127"/>
      <c r="N452" s="127"/>
    </row>
    <row r="453" ht="30.0" customHeight="1">
      <c r="A453" s="127"/>
      <c r="B453" s="127"/>
      <c r="C453" s="127"/>
      <c r="D453" s="128"/>
      <c r="E453" s="129"/>
      <c r="F453" s="129"/>
      <c r="G453" s="129"/>
      <c r="H453" s="127"/>
      <c r="I453" s="127"/>
      <c r="J453" s="127"/>
      <c r="K453" s="127"/>
      <c r="L453" s="127"/>
      <c r="M453" s="127"/>
      <c r="N453" s="127"/>
    </row>
    <row r="454" ht="30.0" customHeight="1">
      <c r="A454" s="127"/>
      <c r="B454" s="127"/>
      <c r="C454" s="127"/>
      <c r="D454" s="128"/>
      <c r="E454" s="129"/>
      <c r="F454" s="129"/>
      <c r="G454" s="129"/>
      <c r="H454" s="127"/>
      <c r="I454" s="127"/>
      <c r="J454" s="127"/>
      <c r="K454" s="127"/>
      <c r="L454" s="127"/>
      <c r="M454" s="127"/>
      <c r="N454" s="127"/>
    </row>
    <row r="455" ht="30.0" customHeight="1">
      <c r="A455" s="127"/>
      <c r="B455" s="127"/>
      <c r="C455" s="127"/>
      <c r="D455" s="128"/>
      <c r="E455" s="129"/>
      <c r="F455" s="129"/>
      <c r="G455" s="129"/>
      <c r="H455" s="127"/>
      <c r="I455" s="127"/>
      <c r="J455" s="127"/>
      <c r="K455" s="127"/>
      <c r="L455" s="127"/>
      <c r="M455" s="127"/>
      <c r="N455" s="127"/>
    </row>
    <row r="456" ht="30.0" customHeight="1">
      <c r="A456" s="127"/>
      <c r="B456" s="127"/>
      <c r="C456" s="127"/>
      <c r="D456" s="128"/>
      <c r="E456" s="129"/>
      <c r="F456" s="129"/>
      <c r="G456" s="129"/>
      <c r="H456" s="127"/>
      <c r="I456" s="127"/>
      <c r="J456" s="127"/>
      <c r="K456" s="127"/>
      <c r="L456" s="127"/>
      <c r="M456" s="127"/>
      <c r="N456" s="127"/>
    </row>
    <row r="457" ht="30.0" customHeight="1">
      <c r="A457" s="127"/>
      <c r="B457" s="127"/>
      <c r="C457" s="127"/>
      <c r="D457" s="128"/>
      <c r="E457" s="129"/>
      <c r="F457" s="129"/>
      <c r="G457" s="129"/>
      <c r="H457" s="127"/>
      <c r="I457" s="127"/>
      <c r="J457" s="127"/>
      <c r="K457" s="127"/>
      <c r="L457" s="127"/>
      <c r="M457" s="127"/>
      <c r="N457" s="127"/>
    </row>
    <row r="458" ht="30.0" customHeight="1">
      <c r="A458" s="127"/>
      <c r="B458" s="127"/>
      <c r="C458" s="127"/>
      <c r="D458" s="128"/>
      <c r="E458" s="129"/>
      <c r="F458" s="129"/>
      <c r="G458" s="129"/>
      <c r="H458" s="127"/>
      <c r="I458" s="127"/>
      <c r="J458" s="127"/>
      <c r="K458" s="127"/>
      <c r="L458" s="127"/>
      <c r="M458" s="127"/>
      <c r="N458" s="127"/>
    </row>
    <row r="459" ht="30.0" customHeight="1">
      <c r="A459" s="127"/>
      <c r="B459" s="127"/>
      <c r="C459" s="127"/>
      <c r="D459" s="128"/>
      <c r="E459" s="129"/>
      <c r="F459" s="129"/>
      <c r="G459" s="129"/>
      <c r="H459" s="127"/>
      <c r="I459" s="127"/>
      <c r="J459" s="127"/>
      <c r="K459" s="127"/>
      <c r="L459" s="127"/>
      <c r="M459" s="127"/>
      <c r="N459" s="127"/>
    </row>
    <row r="460" ht="30.0" customHeight="1">
      <c r="A460" s="127"/>
      <c r="B460" s="127"/>
      <c r="C460" s="127"/>
      <c r="D460" s="128"/>
      <c r="E460" s="129"/>
      <c r="F460" s="129"/>
      <c r="G460" s="129"/>
      <c r="H460" s="127"/>
      <c r="I460" s="127"/>
      <c r="J460" s="127"/>
      <c r="K460" s="127"/>
      <c r="L460" s="127"/>
      <c r="M460" s="127"/>
      <c r="N460" s="127"/>
    </row>
    <row r="461" ht="30.0" customHeight="1">
      <c r="A461" s="127"/>
      <c r="B461" s="127"/>
      <c r="C461" s="127"/>
      <c r="D461" s="128"/>
      <c r="E461" s="129"/>
      <c r="F461" s="129"/>
      <c r="G461" s="129"/>
      <c r="H461" s="127"/>
      <c r="I461" s="127"/>
      <c r="J461" s="127"/>
      <c r="K461" s="127"/>
      <c r="L461" s="127"/>
      <c r="M461" s="127"/>
      <c r="N461" s="127"/>
    </row>
    <row r="462" ht="30.0" customHeight="1">
      <c r="A462" s="127"/>
      <c r="B462" s="127"/>
      <c r="C462" s="127"/>
      <c r="D462" s="128"/>
      <c r="E462" s="129"/>
      <c r="F462" s="129"/>
      <c r="G462" s="129"/>
      <c r="H462" s="127"/>
      <c r="I462" s="127"/>
      <c r="J462" s="127"/>
      <c r="K462" s="127"/>
      <c r="L462" s="127"/>
      <c r="M462" s="127"/>
      <c r="N462" s="127"/>
    </row>
    <row r="463" ht="30.0" customHeight="1">
      <c r="A463" s="127"/>
      <c r="B463" s="127"/>
      <c r="C463" s="127"/>
      <c r="D463" s="128"/>
      <c r="E463" s="129"/>
      <c r="F463" s="129"/>
      <c r="G463" s="129"/>
      <c r="H463" s="127"/>
      <c r="I463" s="127"/>
      <c r="J463" s="127"/>
      <c r="K463" s="127"/>
      <c r="L463" s="127"/>
      <c r="M463" s="127"/>
      <c r="N463" s="127"/>
    </row>
    <row r="464" ht="30.0" customHeight="1">
      <c r="A464" s="127"/>
      <c r="B464" s="127"/>
      <c r="C464" s="127"/>
      <c r="D464" s="128"/>
      <c r="E464" s="129"/>
      <c r="F464" s="129"/>
      <c r="G464" s="129"/>
      <c r="H464" s="127"/>
      <c r="I464" s="127"/>
      <c r="J464" s="127"/>
      <c r="K464" s="127"/>
      <c r="L464" s="127"/>
      <c r="M464" s="127"/>
      <c r="N464" s="127"/>
    </row>
    <row r="465" ht="30.0" customHeight="1">
      <c r="A465" s="127"/>
      <c r="B465" s="127"/>
      <c r="C465" s="127"/>
      <c r="D465" s="128"/>
      <c r="E465" s="129"/>
      <c r="F465" s="129"/>
      <c r="G465" s="129"/>
      <c r="H465" s="127"/>
      <c r="I465" s="127"/>
      <c r="J465" s="127"/>
      <c r="K465" s="127"/>
      <c r="L465" s="127"/>
      <c r="M465" s="127"/>
      <c r="N465" s="127"/>
    </row>
    <row r="466" ht="30.0" customHeight="1">
      <c r="A466" s="127"/>
      <c r="B466" s="127"/>
      <c r="C466" s="127"/>
      <c r="D466" s="128"/>
      <c r="E466" s="129"/>
      <c r="F466" s="129"/>
      <c r="G466" s="129"/>
      <c r="H466" s="127"/>
      <c r="I466" s="127"/>
      <c r="J466" s="127"/>
      <c r="K466" s="127"/>
      <c r="L466" s="127"/>
      <c r="M466" s="127"/>
      <c r="N466" s="127"/>
    </row>
    <row r="467" ht="30.0" customHeight="1">
      <c r="A467" s="127"/>
      <c r="B467" s="127"/>
      <c r="C467" s="127"/>
      <c r="D467" s="128"/>
      <c r="E467" s="129"/>
      <c r="F467" s="129"/>
      <c r="G467" s="129"/>
      <c r="H467" s="127"/>
      <c r="I467" s="127"/>
      <c r="J467" s="127"/>
      <c r="K467" s="127"/>
      <c r="L467" s="127"/>
      <c r="M467" s="127"/>
      <c r="N467" s="127"/>
    </row>
    <row r="468" ht="30.0" customHeight="1">
      <c r="A468" s="127"/>
      <c r="B468" s="127"/>
      <c r="C468" s="127"/>
      <c r="D468" s="128"/>
      <c r="E468" s="129"/>
      <c r="F468" s="129"/>
      <c r="G468" s="129"/>
      <c r="H468" s="127"/>
      <c r="I468" s="127"/>
      <c r="J468" s="127"/>
      <c r="K468" s="127"/>
      <c r="L468" s="127"/>
      <c r="M468" s="127"/>
      <c r="N468" s="127"/>
    </row>
    <row r="469" ht="30.0" customHeight="1">
      <c r="A469" s="127"/>
      <c r="B469" s="127"/>
      <c r="C469" s="127"/>
      <c r="D469" s="128"/>
      <c r="E469" s="129"/>
      <c r="F469" s="129"/>
      <c r="G469" s="129"/>
      <c r="H469" s="127"/>
      <c r="I469" s="127"/>
      <c r="J469" s="127"/>
      <c r="K469" s="127"/>
      <c r="L469" s="127"/>
      <c r="M469" s="127"/>
      <c r="N469" s="127"/>
    </row>
    <row r="470" ht="30.0" customHeight="1">
      <c r="A470" s="127"/>
      <c r="B470" s="127"/>
      <c r="C470" s="127"/>
      <c r="D470" s="128"/>
      <c r="E470" s="129"/>
      <c r="F470" s="129"/>
      <c r="G470" s="129"/>
      <c r="H470" s="127"/>
      <c r="I470" s="127"/>
      <c r="J470" s="127"/>
      <c r="K470" s="127"/>
      <c r="L470" s="127"/>
      <c r="M470" s="127"/>
      <c r="N470" s="127"/>
    </row>
    <row r="471" ht="30.0" customHeight="1">
      <c r="A471" s="127"/>
      <c r="B471" s="127"/>
      <c r="C471" s="127"/>
      <c r="D471" s="128"/>
      <c r="E471" s="129"/>
      <c r="F471" s="129"/>
      <c r="G471" s="129"/>
      <c r="H471" s="127"/>
      <c r="I471" s="127"/>
      <c r="J471" s="127"/>
      <c r="K471" s="127"/>
      <c r="L471" s="127"/>
      <c r="M471" s="127"/>
      <c r="N471" s="127"/>
    </row>
    <row r="472" ht="30.0" customHeight="1">
      <c r="A472" s="127"/>
      <c r="B472" s="127"/>
      <c r="C472" s="127"/>
      <c r="D472" s="128"/>
      <c r="E472" s="129"/>
      <c r="F472" s="129"/>
      <c r="G472" s="129"/>
      <c r="H472" s="127"/>
      <c r="I472" s="127"/>
      <c r="J472" s="127"/>
      <c r="K472" s="127"/>
      <c r="L472" s="127"/>
      <c r="M472" s="127"/>
      <c r="N472" s="127"/>
    </row>
    <row r="473" ht="30.0" customHeight="1">
      <c r="A473" s="127"/>
      <c r="B473" s="127"/>
      <c r="C473" s="127"/>
      <c r="D473" s="128"/>
      <c r="E473" s="129"/>
      <c r="F473" s="129"/>
      <c r="G473" s="129"/>
      <c r="H473" s="127"/>
      <c r="I473" s="127"/>
      <c r="J473" s="127"/>
      <c r="K473" s="127"/>
      <c r="L473" s="127"/>
      <c r="M473" s="127"/>
      <c r="N473" s="127"/>
    </row>
    <row r="474" ht="30.0" customHeight="1">
      <c r="A474" s="127"/>
      <c r="B474" s="127"/>
      <c r="C474" s="127"/>
      <c r="D474" s="128"/>
      <c r="E474" s="129"/>
      <c r="F474" s="129"/>
      <c r="G474" s="129"/>
      <c r="H474" s="127"/>
      <c r="I474" s="127"/>
      <c r="J474" s="127"/>
      <c r="K474" s="127"/>
      <c r="L474" s="127"/>
      <c r="M474" s="127"/>
      <c r="N474" s="127"/>
    </row>
    <row r="475" ht="30.0" customHeight="1">
      <c r="A475" s="127"/>
      <c r="B475" s="127"/>
      <c r="C475" s="127"/>
      <c r="D475" s="128"/>
      <c r="E475" s="129"/>
      <c r="F475" s="129"/>
      <c r="G475" s="129"/>
      <c r="H475" s="127"/>
      <c r="I475" s="127"/>
      <c r="J475" s="127"/>
      <c r="K475" s="127"/>
      <c r="L475" s="127"/>
      <c r="M475" s="127"/>
      <c r="N475" s="127"/>
    </row>
    <row r="476" ht="30.0" customHeight="1">
      <c r="A476" s="127"/>
      <c r="B476" s="127"/>
      <c r="C476" s="127"/>
      <c r="D476" s="128"/>
      <c r="E476" s="129"/>
      <c r="F476" s="129"/>
      <c r="G476" s="129"/>
      <c r="H476" s="127"/>
      <c r="I476" s="127"/>
      <c r="J476" s="127"/>
      <c r="K476" s="127"/>
      <c r="L476" s="127"/>
      <c r="M476" s="127"/>
      <c r="N476" s="127"/>
    </row>
    <row r="477" ht="30.0" customHeight="1">
      <c r="A477" s="127"/>
      <c r="B477" s="127"/>
      <c r="C477" s="127"/>
      <c r="D477" s="128"/>
      <c r="E477" s="129"/>
      <c r="F477" s="129"/>
      <c r="G477" s="129"/>
      <c r="H477" s="127"/>
      <c r="I477" s="127"/>
      <c r="J477" s="127"/>
      <c r="K477" s="127"/>
      <c r="L477" s="127"/>
      <c r="M477" s="127"/>
      <c r="N477" s="127"/>
    </row>
    <row r="478" ht="30.0" customHeight="1">
      <c r="A478" s="127"/>
      <c r="B478" s="127"/>
      <c r="C478" s="127"/>
      <c r="D478" s="128"/>
      <c r="E478" s="129"/>
      <c r="F478" s="129"/>
      <c r="G478" s="129"/>
      <c r="H478" s="127"/>
      <c r="I478" s="127"/>
      <c r="J478" s="127"/>
      <c r="K478" s="127"/>
      <c r="L478" s="127"/>
      <c r="M478" s="127"/>
      <c r="N478" s="127"/>
    </row>
    <row r="479" ht="30.0" customHeight="1">
      <c r="A479" s="127"/>
      <c r="B479" s="127"/>
      <c r="C479" s="127"/>
      <c r="D479" s="128"/>
      <c r="E479" s="129"/>
      <c r="F479" s="129"/>
      <c r="G479" s="129"/>
      <c r="H479" s="127"/>
      <c r="I479" s="127"/>
      <c r="J479" s="127"/>
      <c r="K479" s="127"/>
      <c r="L479" s="127"/>
      <c r="M479" s="127"/>
      <c r="N479" s="127"/>
    </row>
    <row r="480" ht="30.0" customHeight="1">
      <c r="A480" s="127"/>
      <c r="B480" s="127"/>
      <c r="C480" s="127"/>
      <c r="D480" s="128"/>
      <c r="E480" s="129"/>
      <c r="F480" s="129"/>
      <c r="G480" s="129"/>
      <c r="H480" s="127"/>
      <c r="I480" s="127"/>
      <c r="J480" s="127"/>
      <c r="K480" s="127"/>
      <c r="L480" s="127"/>
      <c r="M480" s="127"/>
      <c r="N480" s="127"/>
    </row>
    <row r="481" ht="30.0" customHeight="1">
      <c r="A481" s="127"/>
      <c r="B481" s="127"/>
      <c r="C481" s="127"/>
      <c r="D481" s="128"/>
      <c r="E481" s="129"/>
      <c r="F481" s="129"/>
      <c r="G481" s="129"/>
      <c r="H481" s="127"/>
      <c r="I481" s="127"/>
      <c r="J481" s="127"/>
      <c r="K481" s="127"/>
      <c r="L481" s="127"/>
      <c r="M481" s="127"/>
      <c r="N481" s="127"/>
    </row>
    <row r="482" ht="30.0" customHeight="1">
      <c r="A482" s="127"/>
      <c r="B482" s="127"/>
      <c r="C482" s="127"/>
      <c r="D482" s="128"/>
      <c r="E482" s="129"/>
      <c r="F482" s="129"/>
      <c r="G482" s="129"/>
      <c r="H482" s="127"/>
      <c r="I482" s="127"/>
      <c r="J482" s="127"/>
      <c r="K482" s="127"/>
      <c r="L482" s="127"/>
      <c r="M482" s="127"/>
      <c r="N482" s="127"/>
    </row>
    <row r="483" ht="30.0" customHeight="1">
      <c r="A483" s="127"/>
      <c r="B483" s="127"/>
      <c r="C483" s="127"/>
      <c r="D483" s="128"/>
      <c r="E483" s="129"/>
      <c r="F483" s="129"/>
      <c r="G483" s="129"/>
      <c r="H483" s="127"/>
      <c r="I483" s="127"/>
      <c r="J483" s="127"/>
      <c r="K483" s="127"/>
      <c r="L483" s="127"/>
      <c r="M483" s="127"/>
      <c r="N483" s="127"/>
    </row>
    <row r="484" ht="30.0" customHeight="1">
      <c r="A484" s="127"/>
      <c r="B484" s="127"/>
      <c r="C484" s="127"/>
      <c r="D484" s="128"/>
      <c r="E484" s="129"/>
      <c r="F484" s="129"/>
      <c r="G484" s="129"/>
      <c r="H484" s="127"/>
      <c r="I484" s="127"/>
      <c r="J484" s="127"/>
      <c r="K484" s="127"/>
      <c r="L484" s="127"/>
      <c r="M484" s="127"/>
      <c r="N484" s="127"/>
    </row>
    <row r="485" ht="30.0" customHeight="1">
      <c r="A485" s="127"/>
      <c r="B485" s="127"/>
      <c r="C485" s="127"/>
      <c r="D485" s="128"/>
      <c r="E485" s="129"/>
      <c r="F485" s="129"/>
      <c r="G485" s="129"/>
      <c r="H485" s="127"/>
      <c r="I485" s="127"/>
      <c r="J485" s="127"/>
      <c r="K485" s="127"/>
      <c r="L485" s="127"/>
      <c r="M485" s="127"/>
      <c r="N485" s="127"/>
    </row>
    <row r="486" ht="30.0" customHeight="1">
      <c r="A486" s="127"/>
      <c r="B486" s="127"/>
      <c r="C486" s="127"/>
      <c r="D486" s="128"/>
      <c r="E486" s="129"/>
      <c r="F486" s="129"/>
      <c r="G486" s="129"/>
      <c r="H486" s="127"/>
      <c r="I486" s="127"/>
      <c r="J486" s="127"/>
      <c r="K486" s="127"/>
      <c r="L486" s="127"/>
      <c r="M486" s="127"/>
      <c r="N486" s="127"/>
    </row>
    <row r="487" ht="30.0" customHeight="1">
      <c r="A487" s="127"/>
      <c r="B487" s="127"/>
      <c r="C487" s="127"/>
      <c r="D487" s="128"/>
      <c r="E487" s="129"/>
      <c r="F487" s="129"/>
      <c r="G487" s="129"/>
      <c r="H487" s="127"/>
      <c r="I487" s="127"/>
      <c r="J487" s="127"/>
      <c r="K487" s="127"/>
      <c r="L487" s="127"/>
      <c r="M487" s="127"/>
      <c r="N487" s="127"/>
    </row>
    <row r="488" ht="30.0" customHeight="1">
      <c r="A488" s="127"/>
      <c r="B488" s="127"/>
      <c r="C488" s="127"/>
      <c r="D488" s="128"/>
      <c r="E488" s="129"/>
      <c r="F488" s="129"/>
      <c r="G488" s="129"/>
      <c r="H488" s="127"/>
      <c r="I488" s="127"/>
      <c r="J488" s="127"/>
      <c r="K488" s="127"/>
      <c r="L488" s="127"/>
      <c r="M488" s="127"/>
      <c r="N488" s="127"/>
    </row>
    <row r="489" ht="30.0" customHeight="1">
      <c r="A489" s="127"/>
      <c r="B489" s="127"/>
      <c r="C489" s="127"/>
      <c r="D489" s="128"/>
      <c r="E489" s="129"/>
      <c r="F489" s="129"/>
      <c r="G489" s="129"/>
      <c r="H489" s="127"/>
      <c r="I489" s="127"/>
      <c r="J489" s="127"/>
      <c r="K489" s="127"/>
      <c r="L489" s="127"/>
      <c r="M489" s="127"/>
      <c r="N489" s="127"/>
    </row>
    <row r="490" ht="30.0" customHeight="1">
      <c r="A490" s="127"/>
      <c r="B490" s="127"/>
      <c r="C490" s="127"/>
      <c r="D490" s="128"/>
      <c r="E490" s="129"/>
      <c r="F490" s="129"/>
      <c r="G490" s="129"/>
      <c r="H490" s="127"/>
      <c r="I490" s="127"/>
      <c r="J490" s="127"/>
      <c r="K490" s="127"/>
      <c r="L490" s="127"/>
      <c r="M490" s="127"/>
      <c r="N490" s="127"/>
    </row>
    <row r="491" ht="30.0" customHeight="1">
      <c r="A491" s="127"/>
      <c r="B491" s="127"/>
      <c r="C491" s="127"/>
      <c r="D491" s="128"/>
      <c r="E491" s="129"/>
      <c r="F491" s="129"/>
      <c r="G491" s="129"/>
      <c r="H491" s="127"/>
      <c r="I491" s="127"/>
      <c r="J491" s="127"/>
      <c r="K491" s="127"/>
      <c r="L491" s="127"/>
      <c r="M491" s="127"/>
      <c r="N491" s="127"/>
    </row>
    <row r="492" ht="30.0" customHeight="1">
      <c r="A492" s="127"/>
      <c r="B492" s="127"/>
      <c r="C492" s="127"/>
      <c r="D492" s="128"/>
      <c r="E492" s="129"/>
      <c r="F492" s="129"/>
      <c r="G492" s="129"/>
      <c r="H492" s="127"/>
      <c r="I492" s="127"/>
      <c r="J492" s="127"/>
      <c r="K492" s="127"/>
      <c r="L492" s="127"/>
      <c r="M492" s="127"/>
      <c r="N492" s="127"/>
    </row>
    <row r="493" ht="30.0" customHeight="1">
      <c r="A493" s="127"/>
      <c r="B493" s="127"/>
      <c r="C493" s="127"/>
      <c r="D493" s="128"/>
      <c r="E493" s="129"/>
      <c r="F493" s="129"/>
      <c r="G493" s="129"/>
      <c r="H493" s="127"/>
      <c r="I493" s="127"/>
      <c r="J493" s="127"/>
      <c r="K493" s="127"/>
      <c r="L493" s="127"/>
      <c r="M493" s="127"/>
      <c r="N493" s="127"/>
    </row>
    <row r="494" ht="30.0" customHeight="1">
      <c r="A494" s="127"/>
      <c r="B494" s="127"/>
      <c r="C494" s="127"/>
      <c r="D494" s="128"/>
      <c r="E494" s="129"/>
      <c r="F494" s="129"/>
      <c r="G494" s="129"/>
      <c r="H494" s="127"/>
      <c r="I494" s="127"/>
      <c r="J494" s="127"/>
      <c r="K494" s="127"/>
      <c r="L494" s="127"/>
      <c r="M494" s="127"/>
      <c r="N494" s="127"/>
    </row>
    <row r="495" ht="30.0" customHeight="1">
      <c r="A495" s="127"/>
      <c r="B495" s="127"/>
      <c r="C495" s="127"/>
      <c r="D495" s="128"/>
      <c r="E495" s="129"/>
      <c r="F495" s="129"/>
      <c r="G495" s="129"/>
      <c r="H495" s="127"/>
      <c r="I495" s="127"/>
      <c r="J495" s="127"/>
      <c r="K495" s="127"/>
      <c r="L495" s="127"/>
      <c r="M495" s="127"/>
      <c r="N495" s="127"/>
    </row>
    <row r="496" ht="30.0" customHeight="1">
      <c r="A496" s="127"/>
      <c r="B496" s="127"/>
      <c r="C496" s="127"/>
      <c r="D496" s="128"/>
      <c r="E496" s="129"/>
      <c r="F496" s="129"/>
      <c r="G496" s="129"/>
      <c r="H496" s="127"/>
      <c r="I496" s="127"/>
      <c r="J496" s="127"/>
      <c r="K496" s="127"/>
      <c r="L496" s="127"/>
      <c r="M496" s="127"/>
      <c r="N496" s="127"/>
    </row>
    <row r="497" ht="15.75" customHeight="1">
      <c r="L497" s="131"/>
    </row>
    <row r="498" ht="15.75" customHeight="1">
      <c r="L498" s="131"/>
    </row>
    <row r="499" ht="15.75" customHeight="1">
      <c r="L499" s="131"/>
    </row>
    <row r="500" ht="15.75" customHeight="1">
      <c r="L500" s="131"/>
    </row>
    <row r="501" ht="15.75" customHeight="1">
      <c r="L501" s="131"/>
    </row>
    <row r="502" ht="15.75" customHeight="1">
      <c r="L502" s="131"/>
    </row>
    <row r="503" ht="15.75" customHeight="1">
      <c r="L503" s="131"/>
    </row>
    <row r="504" ht="15.75" customHeight="1">
      <c r="L504" s="131"/>
    </row>
    <row r="505" ht="15.75" customHeight="1">
      <c r="L505" s="131"/>
    </row>
    <row r="506" ht="15.75" customHeight="1">
      <c r="L506" s="131"/>
    </row>
    <row r="507" ht="15.75" customHeight="1">
      <c r="L507" s="131"/>
    </row>
    <row r="508" ht="15.75" customHeight="1">
      <c r="L508" s="131"/>
    </row>
    <row r="509" ht="15.75" customHeight="1">
      <c r="L509" s="131"/>
    </row>
    <row r="510" ht="15.75" customHeight="1">
      <c r="L510" s="131"/>
    </row>
    <row r="511" ht="15.75" customHeight="1">
      <c r="L511" s="131"/>
    </row>
    <row r="512" ht="15.75" customHeight="1">
      <c r="L512" s="131"/>
    </row>
    <row r="513" ht="15.75" customHeight="1">
      <c r="L513" s="131"/>
    </row>
    <row r="514" ht="15.75" customHeight="1">
      <c r="L514" s="131"/>
    </row>
    <row r="515" ht="15.75" customHeight="1">
      <c r="L515" s="131"/>
    </row>
    <row r="516" ht="15.75" customHeight="1">
      <c r="L516" s="131"/>
    </row>
    <row r="517" ht="15.75" customHeight="1">
      <c r="L517" s="131"/>
    </row>
    <row r="518" ht="15.75" customHeight="1">
      <c r="L518" s="131"/>
    </row>
    <row r="519" ht="15.75" customHeight="1">
      <c r="L519" s="131"/>
    </row>
    <row r="520" ht="15.75" customHeight="1">
      <c r="L520" s="131"/>
    </row>
    <row r="521" ht="15.75" customHeight="1">
      <c r="L521" s="131"/>
    </row>
    <row r="522" ht="15.75" customHeight="1">
      <c r="L522" s="131"/>
    </row>
    <row r="523" ht="15.75" customHeight="1">
      <c r="L523" s="131"/>
    </row>
    <row r="524" ht="15.75" customHeight="1">
      <c r="L524" s="131"/>
    </row>
    <row r="525" ht="15.75" customHeight="1">
      <c r="L525" s="131"/>
    </row>
    <row r="526" ht="15.75" customHeight="1">
      <c r="L526" s="131"/>
    </row>
    <row r="527" ht="15.75" customHeight="1">
      <c r="L527" s="131"/>
    </row>
    <row r="528" ht="15.75" customHeight="1">
      <c r="L528" s="131"/>
    </row>
    <row r="529" ht="15.75" customHeight="1">
      <c r="L529" s="131"/>
    </row>
    <row r="530" ht="15.75" customHeight="1">
      <c r="L530" s="131"/>
    </row>
    <row r="531" ht="15.75" customHeight="1">
      <c r="L531" s="131"/>
    </row>
    <row r="532" ht="15.75" customHeight="1">
      <c r="L532" s="131"/>
    </row>
    <row r="533" ht="15.75" customHeight="1">
      <c r="L533" s="131"/>
    </row>
    <row r="534" ht="15.75" customHeight="1">
      <c r="L534" s="131"/>
    </row>
    <row r="535" ht="15.75" customHeight="1">
      <c r="L535" s="131"/>
    </row>
    <row r="536" ht="15.75" customHeight="1">
      <c r="L536" s="131"/>
    </row>
    <row r="537" ht="15.75" customHeight="1">
      <c r="L537" s="131"/>
    </row>
    <row r="538" ht="15.75" customHeight="1">
      <c r="L538" s="131"/>
    </row>
    <row r="539" ht="15.75" customHeight="1">
      <c r="L539" s="131"/>
    </row>
    <row r="540" ht="15.75" customHeight="1">
      <c r="L540" s="131"/>
    </row>
    <row r="541" ht="15.75" customHeight="1">
      <c r="L541" s="131"/>
    </row>
    <row r="542" ht="15.75" customHeight="1">
      <c r="L542" s="131"/>
    </row>
    <row r="543" ht="15.75" customHeight="1">
      <c r="L543" s="131"/>
    </row>
    <row r="544" ht="15.75" customHeight="1">
      <c r="L544" s="131"/>
    </row>
    <row r="545" ht="15.75" customHeight="1">
      <c r="L545" s="131"/>
    </row>
    <row r="546" ht="15.75" customHeight="1">
      <c r="L546" s="131"/>
    </row>
    <row r="547" ht="15.75" customHeight="1">
      <c r="L547" s="131"/>
    </row>
    <row r="548" ht="15.75" customHeight="1">
      <c r="L548" s="131"/>
    </row>
    <row r="549" ht="15.75" customHeight="1">
      <c r="L549" s="131"/>
    </row>
    <row r="550" ht="15.75" customHeight="1">
      <c r="L550" s="131"/>
    </row>
    <row r="551" ht="15.75" customHeight="1">
      <c r="L551" s="131"/>
    </row>
    <row r="552" ht="15.75" customHeight="1">
      <c r="L552" s="131"/>
    </row>
    <row r="553" ht="15.75" customHeight="1">
      <c r="L553" s="131"/>
    </row>
    <row r="554" ht="15.75" customHeight="1">
      <c r="L554" s="131"/>
    </row>
    <row r="555" ht="15.75" customHeight="1">
      <c r="L555" s="131"/>
    </row>
    <row r="556" ht="15.75" customHeight="1">
      <c r="L556" s="131"/>
    </row>
    <row r="557" ht="15.75" customHeight="1">
      <c r="L557" s="131"/>
    </row>
    <row r="558" ht="15.75" customHeight="1">
      <c r="L558" s="131"/>
    </row>
    <row r="559" ht="15.75" customHeight="1">
      <c r="L559" s="131"/>
    </row>
    <row r="560" ht="15.75" customHeight="1">
      <c r="L560" s="131"/>
    </row>
    <row r="561" ht="15.75" customHeight="1">
      <c r="L561" s="131"/>
    </row>
    <row r="562" ht="15.75" customHeight="1">
      <c r="L562" s="131"/>
    </row>
    <row r="563" ht="15.75" customHeight="1">
      <c r="L563" s="131"/>
    </row>
    <row r="564" ht="15.75" customHeight="1">
      <c r="L564" s="131"/>
    </row>
    <row r="565" ht="15.75" customHeight="1">
      <c r="L565" s="131"/>
    </row>
    <row r="566" ht="15.75" customHeight="1">
      <c r="L566" s="131"/>
    </row>
    <row r="567" ht="15.75" customHeight="1">
      <c r="L567" s="131"/>
    </row>
    <row r="568" ht="15.75" customHeight="1">
      <c r="L568" s="131"/>
    </row>
    <row r="569" ht="15.75" customHeight="1">
      <c r="L569" s="131"/>
    </row>
    <row r="570" ht="15.75" customHeight="1">
      <c r="L570" s="131"/>
    </row>
    <row r="571" ht="15.75" customHeight="1">
      <c r="L571" s="131"/>
    </row>
    <row r="572" ht="15.75" customHeight="1">
      <c r="L572" s="131"/>
    </row>
    <row r="573" ht="15.75" customHeight="1">
      <c r="L573" s="131"/>
    </row>
    <row r="574" ht="15.75" customHeight="1">
      <c r="L574" s="131"/>
    </row>
    <row r="575" ht="15.75" customHeight="1">
      <c r="L575" s="131"/>
    </row>
    <row r="576" ht="15.75" customHeight="1">
      <c r="L576" s="131"/>
    </row>
    <row r="577" ht="15.75" customHeight="1">
      <c r="L577" s="131"/>
    </row>
    <row r="578" ht="15.75" customHeight="1">
      <c r="L578" s="131"/>
    </row>
    <row r="579" ht="15.75" customHeight="1">
      <c r="L579" s="131"/>
    </row>
    <row r="580" ht="15.75" customHeight="1">
      <c r="L580" s="131"/>
    </row>
    <row r="581" ht="15.75" customHeight="1">
      <c r="L581" s="131"/>
    </row>
    <row r="582" ht="15.75" customHeight="1">
      <c r="L582" s="131"/>
    </row>
    <row r="583" ht="15.75" customHeight="1">
      <c r="L583" s="131"/>
    </row>
    <row r="584" ht="15.75" customHeight="1">
      <c r="L584" s="131"/>
    </row>
    <row r="585" ht="15.75" customHeight="1">
      <c r="L585" s="131"/>
    </row>
    <row r="586" ht="15.75" customHeight="1">
      <c r="L586" s="131"/>
    </row>
    <row r="587" ht="15.75" customHeight="1">
      <c r="L587" s="131"/>
    </row>
    <row r="588" ht="15.75" customHeight="1">
      <c r="L588" s="131"/>
    </row>
    <row r="589" ht="15.75" customHeight="1">
      <c r="L589" s="131"/>
    </row>
    <row r="590" ht="15.75" customHeight="1">
      <c r="L590" s="131"/>
    </row>
    <row r="591" ht="15.75" customHeight="1">
      <c r="L591" s="131"/>
    </row>
    <row r="592" ht="15.75" customHeight="1">
      <c r="L592" s="131"/>
    </row>
    <row r="593" ht="15.75" customHeight="1">
      <c r="L593" s="131"/>
    </row>
    <row r="594" ht="15.75" customHeight="1">
      <c r="L594" s="131"/>
    </row>
    <row r="595" ht="15.75" customHeight="1">
      <c r="L595" s="131"/>
    </row>
    <row r="596" ht="15.75" customHeight="1">
      <c r="L596" s="131"/>
    </row>
    <row r="597" ht="15.75" customHeight="1">
      <c r="L597" s="131"/>
    </row>
    <row r="598" ht="15.75" customHeight="1">
      <c r="L598" s="131"/>
    </row>
    <row r="599" ht="15.75" customHeight="1">
      <c r="L599" s="131"/>
    </row>
    <row r="600" ht="15.75" customHeight="1">
      <c r="L600" s="131"/>
    </row>
    <row r="601" ht="15.75" customHeight="1">
      <c r="L601" s="131"/>
    </row>
    <row r="602" ht="15.75" customHeight="1">
      <c r="L602" s="131"/>
    </row>
    <row r="603" ht="15.75" customHeight="1">
      <c r="L603" s="131"/>
    </row>
    <row r="604" ht="15.75" customHeight="1">
      <c r="L604" s="131"/>
    </row>
    <row r="605" ht="15.75" customHeight="1">
      <c r="L605" s="131"/>
    </row>
    <row r="606" ht="15.75" customHeight="1">
      <c r="L606" s="131"/>
    </row>
    <row r="607" ht="15.75" customHeight="1">
      <c r="L607" s="131"/>
    </row>
    <row r="608" ht="15.75" customHeight="1">
      <c r="L608" s="131"/>
    </row>
    <row r="609" ht="15.75" customHeight="1">
      <c r="L609" s="131"/>
    </row>
    <row r="610" ht="15.75" customHeight="1">
      <c r="L610" s="131"/>
    </row>
    <row r="611" ht="15.75" customHeight="1">
      <c r="L611" s="131"/>
    </row>
    <row r="612" ht="15.75" customHeight="1">
      <c r="L612" s="131"/>
    </row>
    <row r="613" ht="15.75" customHeight="1">
      <c r="L613" s="131"/>
    </row>
    <row r="614" ht="15.75" customHeight="1">
      <c r="L614" s="131"/>
    </row>
    <row r="615" ht="15.75" customHeight="1">
      <c r="L615" s="131"/>
    </row>
    <row r="616" ht="15.75" customHeight="1">
      <c r="L616" s="131"/>
    </row>
    <row r="617" ht="15.75" customHeight="1">
      <c r="L617" s="131"/>
    </row>
    <row r="618" ht="15.75" customHeight="1">
      <c r="L618" s="131"/>
    </row>
    <row r="619" ht="15.75" customHeight="1">
      <c r="L619" s="131"/>
    </row>
    <row r="620" ht="15.75" customHeight="1">
      <c r="L620" s="131"/>
    </row>
    <row r="621" ht="15.75" customHeight="1">
      <c r="L621" s="131"/>
    </row>
    <row r="622" ht="15.75" customHeight="1">
      <c r="L622" s="131"/>
    </row>
    <row r="623" ht="15.75" customHeight="1">
      <c r="L623" s="131"/>
    </row>
    <row r="624" ht="15.75" customHeight="1">
      <c r="L624" s="131"/>
    </row>
    <row r="625" ht="15.75" customHeight="1">
      <c r="L625" s="131"/>
    </row>
    <row r="626" ht="15.75" customHeight="1">
      <c r="L626" s="131"/>
    </row>
    <row r="627" ht="15.75" customHeight="1">
      <c r="L627" s="131"/>
    </row>
    <row r="628" ht="15.75" customHeight="1">
      <c r="L628" s="131"/>
    </row>
    <row r="629" ht="15.75" customHeight="1">
      <c r="L629" s="131"/>
    </row>
    <row r="630" ht="15.75" customHeight="1">
      <c r="L630" s="131"/>
    </row>
    <row r="631" ht="15.75" customHeight="1">
      <c r="L631" s="131"/>
    </row>
    <row r="632" ht="15.75" customHeight="1">
      <c r="L632" s="131"/>
    </row>
    <row r="633" ht="15.75" customHeight="1">
      <c r="L633" s="131"/>
    </row>
    <row r="634" ht="15.75" customHeight="1">
      <c r="L634" s="131"/>
    </row>
    <row r="635" ht="15.75" customHeight="1">
      <c r="L635" s="131"/>
    </row>
    <row r="636" ht="15.75" customHeight="1">
      <c r="L636" s="131"/>
    </row>
    <row r="637" ht="15.75" customHeight="1">
      <c r="L637" s="131"/>
    </row>
    <row r="638" ht="15.75" customHeight="1">
      <c r="L638" s="131"/>
    </row>
    <row r="639" ht="15.75" customHeight="1">
      <c r="L639" s="131"/>
    </row>
    <row r="640" ht="15.75" customHeight="1">
      <c r="L640" s="131"/>
    </row>
    <row r="641" ht="15.75" customHeight="1">
      <c r="L641" s="131"/>
    </row>
    <row r="642" ht="15.75" customHeight="1">
      <c r="L642" s="131"/>
    </row>
    <row r="643" ht="15.75" customHeight="1">
      <c r="L643" s="131"/>
    </row>
    <row r="644" ht="15.75" customHeight="1">
      <c r="L644" s="131"/>
    </row>
    <row r="645" ht="15.75" customHeight="1">
      <c r="L645" s="131"/>
    </row>
    <row r="646" ht="15.75" customHeight="1">
      <c r="L646" s="131"/>
    </row>
    <row r="647" ht="15.75" customHeight="1">
      <c r="L647" s="131"/>
    </row>
    <row r="648" ht="15.75" customHeight="1">
      <c r="L648" s="131"/>
    </row>
    <row r="649" ht="15.75" customHeight="1">
      <c r="L649" s="131"/>
    </row>
    <row r="650" ht="15.75" customHeight="1">
      <c r="L650" s="131"/>
    </row>
    <row r="651" ht="15.75" customHeight="1">
      <c r="L651" s="131"/>
    </row>
    <row r="652" ht="15.75" customHeight="1">
      <c r="L652" s="131"/>
    </row>
    <row r="653" ht="15.75" customHeight="1">
      <c r="L653" s="131"/>
    </row>
    <row r="654" ht="15.75" customHeight="1">
      <c r="L654" s="131"/>
    </row>
    <row r="655" ht="15.75" customHeight="1">
      <c r="L655" s="131"/>
    </row>
    <row r="656" ht="15.75" customHeight="1">
      <c r="L656" s="131"/>
    </row>
    <row r="657" ht="15.75" customHeight="1">
      <c r="L657" s="131"/>
    </row>
    <row r="658" ht="15.75" customHeight="1">
      <c r="L658" s="131"/>
    </row>
    <row r="659" ht="15.75" customHeight="1">
      <c r="L659" s="131"/>
    </row>
    <row r="660" ht="15.75" customHeight="1">
      <c r="L660" s="131"/>
    </row>
    <row r="661" ht="15.75" customHeight="1">
      <c r="L661" s="131"/>
    </row>
    <row r="662" ht="15.75" customHeight="1">
      <c r="L662" s="131"/>
    </row>
    <row r="663" ht="15.75" customHeight="1">
      <c r="L663" s="131"/>
    </row>
    <row r="664" ht="15.75" customHeight="1">
      <c r="L664" s="131"/>
    </row>
    <row r="665" ht="15.75" customHeight="1">
      <c r="L665" s="131"/>
    </row>
    <row r="666" ht="15.75" customHeight="1">
      <c r="L666" s="131"/>
    </row>
    <row r="667" ht="15.75" customHeight="1">
      <c r="L667" s="131"/>
    </row>
    <row r="668" ht="15.75" customHeight="1">
      <c r="L668" s="131"/>
    </row>
    <row r="669" ht="15.75" customHeight="1">
      <c r="L669" s="131"/>
    </row>
    <row r="670" ht="15.75" customHeight="1">
      <c r="L670" s="131"/>
    </row>
    <row r="671" ht="15.75" customHeight="1">
      <c r="L671" s="131"/>
    </row>
    <row r="672" ht="15.75" customHeight="1">
      <c r="L672" s="131"/>
    </row>
    <row r="673" ht="15.75" customHeight="1">
      <c r="L673" s="131"/>
    </row>
    <row r="674" ht="15.75" customHeight="1">
      <c r="L674" s="131"/>
    </row>
    <row r="675" ht="15.75" customHeight="1">
      <c r="L675" s="131"/>
    </row>
    <row r="676" ht="15.75" customHeight="1">
      <c r="L676" s="131"/>
    </row>
    <row r="677" ht="15.75" customHeight="1">
      <c r="L677" s="131"/>
    </row>
    <row r="678" ht="15.75" customHeight="1">
      <c r="L678" s="131"/>
    </row>
    <row r="679" ht="15.75" customHeight="1">
      <c r="L679" s="131"/>
    </row>
    <row r="680" ht="15.75" customHeight="1">
      <c r="L680" s="131"/>
    </row>
    <row r="681" ht="15.75" customHeight="1">
      <c r="L681" s="131"/>
    </row>
    <row r="682" ht="15.75" customHeight="1">
      <c r="L682" s="131"/>
    </row>
    <row r="683" ht="15.75" customHeight="1">
      <c r="L683" s="131"/>
    </row>
    <row r="684" ht="15.75" customHeight="1">
      <c r="L684" s="131"/>
    </row>
    <row r="685" ht="15.75" customHeight="1">
      <c r="L685" s="131"/>
    </row>
    <row r="686" ht="15.75" customHeight="1">
      <c r="L686" s="131"/>
    </row>
    <row r="687" ht="15.75" customHeight="1">
      <c r="L687" s="131"/>
    </row>
    <row r="688" ht="15.75" customHeight="1">
      <c r="L688" s="131"/>
    </row>
    <row r="689" ht="15.75" customHeight="1">
      <c r="L689" s="131"/>
    </row>
    <row r="690" ht="15.75" customHeight="1">
      <c r="L690" s="131"/>
    </row>
    <row r="691" ht="15.75" customHeight="1">
      <c r="L691" s="131"/>
    </row>
    <row r="692" ht="15.75" customHeight="1">
      <c r="L692" s="131"/>
    </row>
    <row r="693" ht="15.75" customHeight="1">
      <c r="L693" s="131"/>
    </row>
    <row r="694" ht="15.75" customHeight="1">
      <c r="L694" s="131"/>
    </row>
    <row r="695" ht="15.75" customHeight="1">
      <c r="L695" s="131"/>
    </row>
    <row r="696" ht="15.75" customHeight="1">
      <c r="L696" s="131"/>
    </row>
    <row r="697" ht="15.75" customHeight="1">
      <c r="L697" s="131"/>
    </row>
    <row r="698" ht="15.75" customHeight="1">
      <c r="L698" s="131"/>
    </row>
    <row r="699" ht="15.75" customHeight="1">
      <c r="L699" s="131"/>
    </row>
    <row r="700" ht="15.75" customHeight="1">
      <c r="L700" s="131"/>
    </row>
    <row r="701" ht="15.75" customHeight="1">
      <c r="L701" s="131"/>
    </row>
    <row r="702" ht="15.75" customHeight="1">
      <c r="L702" s="131"/>
    </row>
    <row r="703" ht="15.75" customHeight="1">
      <c r="L703" s="131"/>
    </row>
    <row r="704" ht="15.75" customHeight="1">
      <c r="L704" s="131"/>
    </row>
    <row r="705" ht="15.75" customHeight="1">
      <c r="L705" s="131"/>
    </row>
    <row r="706" ht="15.75" customHeight="1">
      <c r="L706" s="131"/>
    </row>
    <row r="707" ht="15.75" customHeight="1">
      <c r="L707" s="131"/>
    </row>
    <row r="708" ht="15.75" customHeight="1">
      <c r="L708" s="131"/>
    </row>
    <row r="709" ht="15.75" customHeight="1">
      <c r="L709" s="131"/>
    </row>
    <row r="710" ht="15.75" customHeight="1">
      <c r="L710" s="131"/>
    </row>
    <row r="711" ht="15.75" customHeight="1">
      <c r="L711" s="131"/>
    </row>
    <row r="712" ht="15.75" customHeight="1">
      <c r="L712" s="131"/>
    </row>
    <row r="713" ht="15.75" customHeight="1">
      <c r="L713" s="131"/>
    </row>
    <row r="714" ht="15.75" customHeight="1">
      <c r="L714" s="131"/>
    </row>
    <row r="715" ht="15.75" customHeight="1">
      <c r="L715" s="131"/>
    </row>
    <row r="716" ht="15.75" customHeight="1">
      <c r="L716" s="131"/>
    </row>
    <row r="717" ht="15.75" customHeight="1">
      <c r="L717" s="131"/>
    </row>
    <row r="718" ht="15.75" customHeight="1">
      <c r="L718" s="131"/>
    </row>
    <row r="719" ht="15.75" customHeight="1">
      <c r="L719" s="131"/>
    </row>
    <row r="720" ht="15.75" customHeight="1">
      <c r="L720" s="131"/>
    </row>
    <row r="721" ht="15.75" customHeight="1">
      <c r="L721" s="131"/>
    </row>
    <row r="722" ht="15.75" customHeight="1">
      <c r="L722" s="131"/>
    </row>
    <row r="723" ht="15.75" customHeight="1">
      <c r="L723" s="131"/>
    </row>
    <row r="724" ht="15.75" customHeight="1">
      <c r="L724" s="131"/>
    </row>
    <row r="725" ht="15.75" customHeight="1">
      <c r="L725" s="131"/>
    </row>
    <row r="726" ht="15.75" customHeight="1">
      <c r="L726" s="131"/>
    </row>
    <row r="727" ht="15.75" customHeight="1">
      <c r="L727" s="131"/>
    </row>
    <row r="728" ht="15.75" customHeight="1">
      <c r="L728" s="131"/>
    </row>
    <row r="729" ht="15.75" customHeight="1">
      <c r="L729" s="131"/>
    </row>
    <row r="730" ht="15.75" customHeight="1">
      <c r="L730" s="131"/>
    </row>
    <row r="731" ht="15.75" customHeight="1">
      <c r="L731" s="131"/>
    </row>
    <row r="732" ht="15.75" customHeight="1">
      <c r="L732" s="131"/>
    </row>
    <row r="733" ht="15.75" customHeight="1">
      <c r="L733" s="131"/>
    </row>
    <row r="734" ht="15.75" customHeight="1">
      <c r="L734" s="131"/>
    </row>
    <row r="735" ht="15.75" customHeight="1">
      <c r="L735" s="131"/>
    </row>
    <row r="736" ht="15.75" customHeight="1">
      <c r="L736" s="131"/>
    </row>
    <row r="737" ht="15.75" customHeight="1">
      <c r="L737" s="131"/>
    </row>
    <row r="738" ht="15.75" customHeight="1">
      <c r="L738" s="131"/>
    </row>
    <row r="739" ht="15.75" customHeight="1">
      <c r="L739" s="131"/>
    </row>
    <row r="740" ht="15.75" customHeight="1">
      <c r="L740" s="131"/>
    </row>
    <row r="741" ht="15.75" customHeight="1">
      <c r="L741" s="131"/>
    </row>
    <row r="742" ht="15.75" customHeight="1">
      <c r="L742" s="131"/>
    </row>
    <row r="743" ht="15.75" customHeight="1">
      <c r="L743" s="131"/>
    </row>
    <row r="744" ht="15.75" customHeight="1">
      <c r="L744" s="131"/>
    </row>
    <row r="745" ht="15.75" customHeight="1">
      <c r="L745" s="131"/>
    </row>
    <row r="746" ht="15.75" customHeight="1">
      <c r="L746" s="131"/>
    </row>
    <row r="747" ht="15.75" customHeight="1">
      <c r="L747" s="131"/>
    </row>
    <row r="748" ht="15.75" customHeight="1">
      <c r="L748" s="131"/>
    </row>
    <row r="749" ht="15.75" customHeight="1">
      <c r="L749" s="131"/>
    </row>
    <row r="750" ht="15.75" customHeight="1">
      <c r="L750" s="131"/>
    </row>
    <row r="751" ht="15.75" customHeight="1">
      <c r="L751" s="131"/>
    </row>
    <row r="752" ht="15.75" customHeight="1">
      <c r="L752" s="131"/>
    </row>
    <row r="753" ht="15.75" customHeight="1">
      <c r="L753" s="131"/>
    </row>
    <row r="754" ht="15.75" customHeight="1">
      <c r="L754" s="131"/>
    </row>
    <row r="755" ht="15.75" customHeight="1">
      <c r="L755" s="131"/>
    </row>
    <row r="756" ht="15.75" customHeight="1">
      <c r="L756" s="131"/>
    </row>
    <row r="757" ht="15.75" customHeight="1">
      <c r="L757" s="131"/>
    </row>
    <row r="758" ht="15.75" customHeight="1">
      <c r="L758" s="131"/>
    </row>
    <row r="759" ht="15.75" customHeight="1">
      <c r="L759" s="131"/>
    </row>
    <row r="760" ht="15.75" customHeight="1">
      <c r="L760" s="131"/>
    </row>
    <row r="761" ht="15.75" customHeight="1">
      <c r="L761" s="131"/>
    </row>
    <row r="762" ht="15.75" customHeight="1">
      <c r="L762" s="131"/>
    </row>
    <row r="763" ht="15.75" customHeight="1">
      <c r="L763" s="131"/>
    </row>
    <row r="764" ht="15.75" customHeight="1">
      <c r="L764" s="131"/>
    </row>
    <row r="765" ht="15.75" customHeight="1">
      <c r="L765" s="131"/>
    </row>
    <row r="766" ht="15.75" customHeight="1">
      <c r="L766" s="131"/>
    </row>
    <row r="767" ht="15.75" customHeight="1">
      <c r="L767" s="131"/>
    </row>
    <row r="768" ht="15.75" customHeight="1">
      <c r="L768" s="131"/>
    </row>
    <row r="769" ht="15.75" customHeight="1">
      <c r="L769" s="131"/>
    </row>
    <row r="770" ht="15.75" customHeight="1">
      <c r="L770" s="131"/>
    </row>
    <row r="771" ht="15.75" customHeight="1">
      <c r="L771" s="131"/>
    </row>
    <row r="772" ht="15.75" customHeight="1">
      <c r="L772" s="131"/>
    </row>
    <row r="773" ht="15.75" customHeight="1">
      <c r="L773" s="131"/>
    </row>
    <row r="774" ht="15.75" customHeight="1">
      <c r="L774" s="131"/>
    </row>
    <row r="775" ht="15.75" customHeight="1">
      <c r="L775" s="131"/>
    </row>
    <row r="776" ht="15.75" customHeight="1">
      <c r="L776" s="131"/>
    </row>
    <row r="777" ht="15.75" customHeight="1">
      <c r="L777" s="131"/>
    </row>
    <row r="778" ht="15.75" customHeight="1">
      <c r="L778" s="131"/>
    </row>
    <row r="779" ht="15.75" customHeight="1">
      <c r="L779" s="131"/>
    </row>
    <row r="780" ht="15.75" customHeight="1">
      <c r="L780" s="131"/>
    </row>
    <row r="781" ht="15.75" customHeight="1">
      <c r="L781" s="131"/>
    </row>
    <row r="782" ht="15.75" customHeight="1">
      <c r="L782" s="131"/>
    </row>
    <row r="783" ht="15.75" customHeight="1">
      <c r="L783" s="131"/>
    </row>
    <row r="784" ht="15.75" customHeight="1">
      <c r="L784" s="131"/>
    </row>
    <row r="785" ht="15.75" customHeight="1">
      <c r="L785" s="131"/>
    </row>
    <row r="786" ht="15.75" customHeight="1">
      <c r="L786" s="131"/>
    </row>
    <row r="787" ht="15.75" customHeight="1">
      <c r="L787" s="131"/>
    </row>
    <row r="788" ht="15.75" customHeight="1">
      <c r="L788" s="131"/>
    </row>
    <row r="789" ht="15.75" customHeight="1">
      <c r="L789" s="131"/>
    </row>
    <row r="790" ht="15.75" customHeight="1">
      <c r="L790" s="131"/>
    </row>
    <row r="791" ht="15.75" customHeight="1">
      <c r="L791" s="131"/>
    </row>
    <row r="792" ht="15.75" customHeight="1">
      <c r="L792" s="131"/>
    </row>
    <row r="793" ht="15.75" customHeight="1">
      <c r="L793" s="131"/>
    </row>
    <row r="794" ht="15.75" customHeight="1">
      <c r="L794" s="131"/>
    </row>
    <row r="795" ht="15.75" customHeight="1">
      <c r="L795" s="131"/>
    </row>
    <row r="796" ht="15.75" customHeight="1">
      <c r="L796" s="131"/>
    </row>
    <row r="797" ht="15.75" customHeight="1">
      <c r="L797" s="131"/>
    </row>
    <row r="798" ht="15.75" customHeight="1">
      <c r="L798" s="131"/>
    </row>
    <row r="799" ht="15.75" customHeight="1">
      <c r="L799" s="131"/>
    </row>
    <row r="800" ht="15.75" customHeight="1">
      <c r="L800" s="131"/>
    </row>
    <row r="801" ht="15.75" customHeight="1">
      <c r="L801" s="131"/>
    </row>
    <row r="802" ht="15.75" customHeight="1">
      <c r="L802" s="131"/>
    </row>
    <row r="803" ht="15.75" customHeight="1">
      <c r="L803" s="131"/>
    </row>
    <row r="804" ht="15.75" customHeight="1">
      <c r="L804" s="131"/>
    </row>
    <row r="805" ht="15.75" customHeight="1">
      <c r="L805" s="131"/>
    </row>
    <row r="806" ht="15.75" customHeight="1">
      <c r="L806" s="131"/>
    </row>
    <row r="807" ht="15.75" customHeight="1">
      <c r="L807" s="131"/>
    </row>
    <row r="808" ht="15.75" customHeight="1">
      <c r="L808" s="131"/>
    </row>
    <row r="809" ht="15.75" customHeight="1">
      <c r="L809" s="131"/>
    </row>
    <row r="810" ht="15.75" customHeight="1">
      <c r="L810" s="131"/>
    </row>
    <row r="811" ht="15.75" customHeight="1">
      <c r="L811" s="131"/>
    </row>
    <row r="812" ht="15.75" customHeight="1">
      <c r="L812" s="131"/>
    </row>
    <row r="813" ht="15.75" customHeight="1">
      <c r="L813" s="131"/>
    </row>
    <row r="814" ht="15.75" customHeight="1">
      <c r="L814" s="131"/>
    </row>
    <row r="815" ht="15.75" customHeight="1">
      <c r="L815" s="131"/>
    </row>
    <row r="816" ht="15.75" customHeight="1">
      <c r="L816" s="131"/>
    </row>
    <row r="817" ht="15.75" customHeight="1">
      <c r="L817" s="131"/>
    </row>
    <row r="818" ht="15.75" customHeight="1">
      <c r="L818" s="131"/>
    </row>
    <row r="819" ht="15.75" customHeight="1">
      <c r="L819" s="131"/>
    </row>
    <row r="820" ht="15.75" customHeight="1">
      <c r="L820" s="131"/>
    </row>
    <row r="821" ht="15.75" customHeight="1">
      <c r="L821" s="131"/>
    </row>
    <row r="822" ht="15.75" customHeight="1">
      <c r="L822" s="131"/>
    </row>
    <row r="823" ht="15.75" customHeight="1">
      <c r="L823" s="131"/>
    </row>
    <row r="824" ht="15.75" customHeight="1">
      <c r="L824" s="131"/>
    </row>
    <row r="825" ht="15.75" customHeight="1">
      <c r="L825" s="131"/>
    </row>
    <row r="826" ht="15.75" customHeight="1">
      <c r="L826" s="131"/>
    </row>
    <row r="827" ht="15.75" customHeight="1">
      <c r="L827" s="131"/>
    </row>
    <row r="828" ht="15.75" customHeight="1">
      <c r="L828" s="131"/>
    </row>
    <row r="829" ht="15.75" customHeight="1">
      <c r="L829" s="131"/>
    </row>
    <row r="830" ht="15.75" customHeight="1">
      <c r="L830" s="131"/>
    </row>
    <row r="831" ht="15.75" customHeight="1">
      <c r="L831" s="131"/>
    </row>
    <row r="832" ht="15.75" customHeight="1">
      <c r="L832" s="131"/>
    </row>
    <row r="833" ht="15.75" customHeight="1">
      <c r="L833" s="131"/>
    </row>
    <row r="834" ht="15.75" customHeight="1">
      <c r="L834" s="131"/>
    </row>
    <row r="835" ht="15.75" customHeight="1">
      <c r="L835" s="131"/>
    </row>
    <row r="836" ht="15.75" customHeight="1">
      <c r="L836" s="131"/>
    </row>
    <row r="837" ht="15.75" customHeight="1">
      <c r="L837" s="131"/>
    </row>
    <row r="838" ht="15.75" customHeight="1">
      <c r="L838" s="131"/>
    </row>
    <row r="839" ht="15.75" customHeight="1">
      <c r="L839" s="131"/>
    </row>
    <row r="840" ht="15.75" customHeight="1">
      <c r="L840" s="131"/>
    </row>
    <row r="841" ht="15.75" customHeight="1">
      <c r="L841" s="131"/>
    </row>
    <row r="842" ht="15.75" customHeight="1">
      <c r="L842" s="131"/>
    </row>
    <row r="843" ht="15.75" customHeight="1">
      <c r="L843" s="131"/>
    </row>
    <row r="844" ht="15.75" customHeight="1">
      <c r="L844" s="131"/>
    </row>
    <row r="845" ht="15.75" customHeight="1">
      <c r="L845" s="131"/>
    </row>
    <row r="846" ht="15.75" customHeight="1">
      <c r="L846" s="131"/>
    </row>
    <row r="847" ht="15.75" customHeight="1">
      <c r="L847" s="131"/>
    </row>
    <row r="848" ht="15.75" customHeight="1">
      <c r="L848" s="131"/>
    </row>
    <row r="849" ht="15.75" customHeight="1">
      <c r="L849" s="131"/>
    </row>
    <row r="850" ht="15.75" customHeight="1">
      <c r="L850" s="131"/>
    </row>
    <row r="851" ht="15.75" customHeight="1">
      <c r="L851" s="131"/>
    </row>
    <row r="852" ht="15.75" customHeight="1">
      <c r="L852" s="131"/>
    </row>
    <row r="853" ht="15.75" customHeight="1">
      <c r="L853" s="131"/>
    </row>
    <row r="854" ht="15.75" customHeight="1">
      <c r="L854" s="131"/>
    </row>
    <row r="855" ht="15.75" customHeight="1">
      <c r="L855" s="131"/>
    </row>
    <row r="856" ht="15.75" customHeight="1">
      <c r="L856" s="131"/>
    </row>
    <row r="857" ht="15.75" customHeight="1">
      <c r="L857" s="131"/>
    </row>
    <row r="858" ht="15.75" customHeight="1">
      <c r="L858" s="131"/>
    </row>
    <row r="859" ht="15.75" customHeight="1">
      <c r="L859" s="131"/>
    </row>
    <row r="860" ht="15.75" customHeight="1">
      <c r="L860" s="131"/>
    </row>
    <row r="861" ht="15.75" customHeight="1">
      <c r="L861" s="131"/>
    </row>
    <row r="862" ht="15.75" customHeight="1">
      <c r="L862" s="131"/>
    </row>
    <row r="863" ht="15.75" customHeight="1">
      <c r="L863" s="131"/>
    </row>
    <row r="864" ht="15.75" customHeight="1">
      <c r="L864" s="131"/>
    </row>
    <row r="865" ht="15.75" customHeight="1">
      <c r="L865" s="131"/>
    </row>
    <row r="866" ht="15.75" customHeight="1">
      <c r="L866" s="131"/>
    </row>
    <row r="867" ht="15.75" customHeight="1">
      <c r="L867" s="131"/>
    </row>
    <row r="868" ht="15.75" customHeight="1">
      <c r="L868" s="131"/>
    </row>
    <row r="869" ht="15.75" customHeight="1">
      <c r="L869" s="131"/>
    </row>
    <row r="870" ht="15.75" customHeight="1">
      <c r="L870" s="131"/>
    </row>
    <row r="871" ht="15.75" customHeight="1">
      <c r="L871" s="131"/>
    </row>
    <row r="872" ht="15.75" customHeight="1">
      <c r="L872" s="131"/>
    </row>
    <row r="873" ht="15.75" customHeight="1">
      <c r="L873" s="131"/>
    </row>
    <row r="874" ht="15.75" customHeight="1">
      <c r="L874" s="131"/>
    </row>
    <row r="875" ht="15.75" customHeight="1">
      <c r="L875" s="131"/>
    </row>
    <row r="876" ht="15.75" customHeight="1">
      <c r="L876" s="131"/>
    </row>
    <row r="877" ht="15.75" customHeight="1">
      <c r="L877" s="131"/>
    </row>
    <row r="878" ht="15.75" customHeight="1">
      <c r="L878" s="131"/>
    </row>
    <row r="879" ht="15.75" customHeight="1">
      <c r="L879" s="131"/>
    </row>
    <row r="880" ht="15.75" customHeight="1">
      <c r="L880" s="131"/>
    </row>
    <row r="881" ht="15.75" customHeight="1">
      <c r="L881" s="131"/>
    </row>
    <row r="882" ht="15.75" customHeight="1">
      <c r="L882" s="131"/>
    </row>
    <row r="883" ht="15.75" customHeight="1">
      <c r="L883" s="131"/>
    </row>
    <row r="884" ht="15.75" customHeight="1">
      <c r="L884" s="131"/>
    </row>
    <row r="885" ht="15.75" customHeight="1">
      <c r="L885" s="131"/>
    </row>
    <row r="886" ht="15.75" customHeight="1">
      <c r="L886" s="131"/>
    </row>
    <row r="887" ht="15.75" customHeight="1">
      <c r="L887" s="131"/>
    </row>
    <row r="888" ht="15.75" customHeight="1">
      <c r="L888" s="131"/>
    </row>
    <row r="889" ht="15.75" customHeight="1">
      <c r="L889" s="131"/>
    </row>
    <row r="890" ht="15.75" customHeight="1">
      <c r="L890" s="131"/>
    </row>
    <row r="891" ht="15.75" customHeight="1">
      <c r="L891" s="131"/>
    </row>
    <row r="892" ht="15.75" customHeight="1">
      <c r="L892" s="131"/>
    </row>
    <row r="893" ht="15.75" customHeight="1">
      <c r="L893" s="131"/>
    </row>
    <row r="894" ht="15.75" customHeight="1">
      <c r="L894" s="131"/>
    </row>
    <row r="895" ht="15.75" customHeight="1">
      <c r="L895" s="131"/>
    </row>
    <row r="896" ht="15.75" customHeight="1">
      <c r="L896" s="131"/>
    </row>
    <row r="897" ht="15.75" customHeight="1">
      <c r="L897" s="131"/>
    </row>
    <row r="898" ht="15.75" customHeight="1">
      <c r="L898" s="131"/>
    </row>
    <row r="899" ht="15.75" customHeight="1">
      <c r="L899" s="131"/>
    </row>
    <row r="900" ht="15.75" customHeight="1">
      <c r="L900" s="131"/>
    </row>
    <row r="901" ht="15.75" customHeight="1">
      <c r="L901" s="131"/>
    </row>
    <row r="902" ht="15.75" customHeight="1">
      <c r="L902" s="131"/>
    </row>
    <row r="903" ht="15.75" customHeight="1">
      <c r="L903" s="131"/>
    </row>
    <row r="904" ht="15.75" customHeight="1">
      <c r="L904" s="131"/>
    </row>
    <row r="905" ht="15.75" customHeight="1">
      <c r="L905" s="131"/>
    </row>
    <row r="906" ht="15.75" customHeight="1">
      <c r="L906" s="131"/>
    </row>
    <row r="907" ht="15.75" customHeight="1">
      <c r="L907" s="131"/>
    </row>
    <row r="908" ht="15.75" customHeight="1">
      <c r="L908" s="131"/>
    </row>
    <row r="909" ht="15.75" customHeight="1">
      <c r="L909" s="131"/>
    </row>
    <row r="910" ht="15.75" customHeight="1">
      <c r="L910" s="131"/>
    </row>
    <row r="911" ht="15.75" customHeight="1">
      <c r="L911" s="131"/>
    </row>
    <row r="912" ht="15.75" customHeight="1">
      <c r="L912" s="131"/>
    </row>
    <row r="913" ht="15.75" customHeight="1">
      <c r="L913" s="131"/>
    </row>
    <row r="914" ht="15.75" customHeight="1">
      <c r="L914" s="131"/>
    </row>
    <row r="915" ht="15.75" customHeight="1">
      <c r="L915" s="131"/>
    </row>
    <row r="916" ht="15.75" customHeight="1">
      <c r="L916" s="131"/>
    </row>
    <row r="917" ht="15.75" customHeight="1">
      <c r="L917" s="131"/>
    </row>
    <row r="918" ht="15.75" customHeight="1">
      <c r="L918" s="131"/>
    </row>
    <row r="919" ht="15.75" customHeight="1">
      <c r="L919" s="131"/>
    </row>
    <row r="920" ht="15.75" customHeight="1">
      <c r="L920" s="131"/>
    </row>
    <row r="921" ht="15.75" customHeight="1">
      <c r="L921" s="131"/>
    </row>
    <row r="922" ht="15.75" customHeight="1">
      <c r="L922" s="131"/>
    </row>
    <row r="923" ht="15.75" customHeight="1">
      <c r="L923" s="131"/>
    </row>
    <row r="924" ht="15.75" customHeight="1">
      <c r="L924" s="131"/>
    </row>
    <row r="925" ht="15.75" customHeight="1">
      <c r="L925" s="131"/>
    </row>
    <row r="926" ht="15.75" customHeight="1">
      <c r="L926" s="131"/>
    </row>
    <row r="927" ht="15.75" customHeight="1">
      <c r="L927" s="131"/>
    </row>
    <row r="928" ht="15.75" customHeight="1">
      <c r="L928" s="131"/>
    </row>
    <row r="929" ht="15.75" customHeight="1">
      <c r="L929" s="131"/>
    </row>
    <row r="930" ht="15.75" customHeight="1">
      <c r="L930" s="131"/>
    </row>
    <row r="931" ht="15.75" customHeight="1">
      <c r="L931" s="131"/>
    </row>
    <row r="932" ht="15.75" customHeight="1">
      <c r="L932" s="131"/>
    </row>
    <row r="933" ht="15.75" customHeight="1">
      <c r="L933" s="131"/>
    </row>
    <row r="934" ht="15.75" customHeight="1">
      <c r="L934" s="131"/>
    </row>
    <row r="935" ht="15.75" customHeight="1">
      <c r="L935" s="131"/>
    </row>
    <row r="936" ht="15.75" customHeight="1">
      <c r="L936" s="131"/>
    </row>
    <row r="937" ht="15.75" customHeight="1">
      <c r="L937" s="131"/>
    </row>
    <row r="938" ht="15.75" customHeight="1">
      <c r="L938" s="131"/>
    </row>
    <row r="939" ht="15.75" customHeight="1">
      <c r="L939" s="131"/>
    </row>
    <row r="940" ht="15.75" customHeight="1">
      <c r="L940" s="131"/>
    </row>
    <row r="941" ht="15.75" customHeight="1">
      <c r="L941" s="131"/>
    </row>
    <row r="942" ht="15.75" customHeight="1">
      <c r="L942" s="131"/>
    </row>
    <row r="943" ht="15.75" customHeight="1">
      <c r="L943" s="131"/>
    </row>
    <row r="944" ht="15.75" customHeight="1">
      <c r="L944" s="131"/>
    </row>
    <row r="945" ht="15.75" customHeight="1">
      <c r="L945" s="131"/>
    </row>
    <row r="946" ht="15.75" customHeight="1">
      <c r="L946" s="131"/>
    </row>
    <row r="947" ht="15.75" customHeight="1">
      <c r="L947" s="131"/>
    </row>
    <row r="948" ht="15.75" customHeight="1">
      <c r="L948" s="131"/>
    </row>
    <row r="949" ht="15.75" customHeight="1">
      <c r="L949" s="131"/>
    </row>
    <row r="950" ht="15.75" customHeight="1">
      <c r="L950" s="131"/>
    </row>
    <row r="951" ht="15.75" customHeight="1">
      <c r="L951" s="131"/>
    </row>
    <row r="952" ht="15.75" customHeight="1">
      <c r="L952" s="131"/>
    </row>
    <row r="953" ht="15.75" customHeight="1">
      <c r="L953" s="131"/>
    </row>
    <row r="954" ht="15.75" customHeight="1">
      <c r="L954" s="131"/>
    </row>
    <row r="955" ht="15.75" customHeight="1">
      <c r="L955" s="131"/>
    </row>
    <row r="956" ht="15.75" customHeight="1">
      <c r="L956" s="131"/>
    </row>
    <row r="957" ht="15.75" customHeight="1">
      <c r="L957" s="131"/>
    </row>
    <row r="958" ht="15.75" customHeight="1">
      <c r="L958" s="131"/>
    </row>
    <row r="959" ht="15.75" customHeight="1">
      <c r="L959" s="131"/>
    </row>
    <row r="960" ht="15.75" customHeight="1">
      <c r="L960" s="131"/>
    </row>
    <row r="961" ht="15.75" customHeight="1">
      <c r="L961" s="131"/>
    </row>
    <row r="962" ht="15.75" customHeight="1">
      <c r="L962" s="131"/>
    </row>
    <row r="963" ht="15.75" customHeight="1">
      <c r="L963" s="131"/>
    </row>
    <row r="964" ht="15.75" customHeight="1">
      <c r="L964" s="131"/>
    </row>
    <row r="965" ht="15.75" customHeight="1">
      <c r="L965" s="131"/>
    </row>
    <row r="966" ht="15.75" customHeight="1">
      <c r="L966" s="131"/>
    </row>
    <row r="967" ht="15.75" customHeight="1">
      <c r="L967" s="131"/>
    </row>
    <row r="968" ht="15.75" customHeight="1">
      <c r="L968" s="131"/>
    </row>
    <row r="969" ht="15.75" customHeight="1">
      <c r="L969" s="131"/>
    </row>
    <row r="970" ht="15.75" customHeight="1">
      <c r="L970" s="131"/>
    </row>
    <row r="971" ht="15.75" customHeight="1">
      <c r="L971" s="131"/>
    </row>
    <row r="972" ht="15.75" customHeight="1">
      <c r="L972" s="131"/>
    </row>
    <row r="973" ht="15.75" customHeight="1">
      <c r="L973" s="131"/>
    </row>
    <row r="974" ht="15.75" customHeight="1">
      <c r="L974" s="131"/>
    </row>
    <row r="975" ht="15.75" customHeight="1">
      <c r="L975" s="131"/>
    </row>
    <row r="976" ht="15.75" customHeight="1">
      <c r="L976" s="131"/>
    </row>
    <row r="977" ht="15.75" customHeight="1">
      <c r="L977" s="131"/>
    </row>
    <row r="978" ht="15.75" customHeight="1">
      <c r="L978" s="131"/>
    </row>
    <row r="979" ht="15.75" customHeight="1">
      <c r="L979" s="131"/>
    </row>
    <row r="980" ht="15.75" customHeight="1">
      <c r="L980" s="131"/>
    </row>
    <row r="981" ht="15.75" customHeight="1">
      <c r="L981" s="131"/>
    </row>
    <row r="982" ht="15.75" customHeight="1">
      <c r="L982" s="131"/>
    </row>
    <row r="983" ht="15.75" customHeight="1">
      <c r="L983" s="131"/>
    </row>
    <row r="984" ht="15.75" customHeight="1">
      <c r="L984" s="131"/>
    </row>
    <row r="985" ht="15.75" customHeight="1">
      <c r="L985" s="131"/>
    </row>
    <row r="986" ht="15.75" customHeight="1">
      <c r="L986" s="131"/>
    </row>
    <row r="987" ht="15.75" customHeight="1">
      <c r="L987" s="131"/>
    </row>
    <row r="988" ht="15.75" customHeight="1">
      <c r="L988" s="131"/>
    </row>
    <row r="989" ht="15.75" customHeight="1">
      <c r="L989" s="131"/>
    </row>
    <row r="990" ht="15.75" customHeight="1">
      <c r="L990" s="131"/>
    </row>
    <row r="991" ht="15.75" customHeight="1">
      <c r="L991" s="131"/>
    </row>
    <row r="992" ht="15.75" customHeight="1">
      <c r="L992" s="131"/>
    </row>
    <row r="993" ht="15.75" customHeight="1">
      <c r="L993" s="131"/>
    </row>
    <row r="994" ht="15.75" customHeight="1">
      <c r="L994" s="131"/>
    </row>
    <row r="995" ht="15.75" customHeight="1">
      <c r="L995" s="131"/>
    </row>
    <row r="996" ht="15.75" customHeight="1">
      <c r="L996" s="131"/>
    </row>
    <row r="997" ht="15.75" customHeight="1">
      <c r="L997" s="131"/>
    </row>
    <row r="998" ht="15.75" customHeight="1">
      <c r="L998" s="131"/>
    </row>
    <row r="999" ht="15.75" customHeight="1">
      <c r="L999" s="131"/>
    </row>
    <row r="1000" ht="15.75" customHeight="1">
      <c r="L1000" s="131"/>
    </row>
  </sheetData>
  <dataValidations>
    <dataValidation type="list" allowBlank="1" showErrorMessage="1" sqref="L2:L1000">
      <formula1>"Covered,Removed,Deleted,Pending"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0"/>
    <col customWidth="1" min="2" max="9" width="6.38"/>
    <col customWidth="1" min="10" max="10" width="20.13"/>
  </cols>
  <sheetData>
    <row r="1" ht="15.75" customHeight="1">
      <c r="A1" s="132" t="str">
        <f>IFERROR(__xludf.DUMMYFUNCTION("ARRAYFORMULA(REGEXREPLACE(IMPORTRANGE(SET!B52,""Fees!A2:A46""),"" \(CAT \d+\)"",""""))"),"#REF!")</f>
        <v>#REF!</v>
      </c>
      <c r="B1" s="133" t="str">
        <f>IFERROR(__xludf.DUMMYFUNCTION("IMPORTRANGE(SET!B52,""Fees!B2:J46"")"),"#REF!")</f>
        <v>#REF!</v>
      </c>
      <c r="C1" s="133"/>
      <c r="D1" s="133"/>
      <c r="E1" s="133"/>
      <c r="F1" s="133"/>
      <c r="G1" s="133"/>
      <c r="H1" s="133"/>
      <c r="I1" s="133"/>
      <c r="J1" s="134"/>
      <c r="L1" s="135" t="str">
        <f>IFERROR(__xludf.DUMMYFUNCTION("QUERY(
  FILTER(
    IMPORTRANGE(
      ""1D-0aNDuuH_Td5DsoWXy9QPdmrgjYy9ZH4OyzK3P8BEc"",
      ""Scout Game v6!A2:S4000""
    ),
    IMPORTRANGE(
      ""1D-0aNDuuH_Td5DsoWXy9QPdmrgjYy9ZH4OyzK3P8BEc"",
      ""Scout Game v6!O2:O4000""
    ) = B49
  ),
  "&amp;"""SELECT Col1,Col2,Col3,Col4,Col5,Col6,Col7,Col8,Col9,Col10,Col11,Col12,Col13,Col14,Col15,Col16,Col17,Col18,Col19
   ORDER BY Col4,Col3,Col2,Col6,Col7"",
  0
)
"),"#REF!")</f>
        <v>#REF!</v>
      </c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</row>
    <row r="2" ht="15.75" customHeight="1">
      <c r="A2" s="136"/>
      <c r="B2" s="137"/>
      <c r="C2" s="138"/>
      <c r="D2" s="137"/>
      <c r="E2" s="138"/>
      <c r="F2" s="137"/>
      <c r="G2" s="139"/>
      <c r="H2" s="137"/>
      <c r="I2" s="139"/>
      <c r="J2" s="140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</row>
    <row r="3" ht="15.75" customHeight="1">
      <c r="A3" s="136"/>
      <c r="B3" s="137"/>
      <c r="C3" s="138"/>
      <c r="D3" s="137"/>
      <c r="E3" s="138"/>
      <c r="F3" s="137"/>
      <c r="G3" s="139"/>
      <c r="H3" s="137"/>
      <c r="I3" s="139"/>
      <c r="J3" s="140"/>
      <c r="L3" s="141"/>
      <c r="M3" s="141"/>
      <c r="N3" s="142"/>
      <c r="O3" s="142"/>
      <c r="P3" s="135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</row>
    <row r="4" ht="15.75" customHeight="1">
      <c r="A4" s="136"/>
      <c r="B4" s="143"/>
      <c r="C4" s="138"/>
      <c r="D4" s="137"/>
      <c r="E4" s="138"/>
      <c r="F4" s="137"/>
      <c r="G4" s="139"/>
      <c r="H4" s="137"/>
      <c r="I4" s="139"/>
      <c r="J4" s="140"/>
      <c r="L4" s="144"/>
      <c r="M4" s="144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  <c r="AB4" s="145"/>
      <c r="AC4" s="145"/>
    </row>
    <row r="5" ht="15.75" customHeight="1">
      <c r="A5" s="136"/>
      <c r="B5" s="143"/>
      <c r="C5" s="138"/>
      <c r="D5" s="137"/>
      <c r="E5" s="138"/>
      <c r="F5" s="137"/>
      <c r="G5" s="139"/>
      <c r="H5" s="137"/>
      <c r="I5" s="139"/>
      <c r="J5" s="140"/>
      <c r="L5" s="141"/>
      <c r="M5" s="141"/>
      <c r="N5" s="142"/>
      <c r="O5" s="142"/>
      <c r="P5" s="145"/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</row>
    <row r="6" ht="15.75" customHeight="1">
      <c r="A6" s="136"/>
      <c r="B6" s="137"/>
      <c r="C6" s="138"/>
      <c r="D6" s="137"/>
      <c r="E6" s="138"/>
      <c r="F6" s="137"/>
      <c r="G6" s="139"/>
      <c r="H6" s="137"/>
      <c r="I6" s="139"/>
      <c r="J6" s="140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</row>
    <row r="7" ht="15.75" customHeight="1">
      <c r="A7" s="136"/>
      <c r="B7" s="137"/>
      <c r="C7" s="138"/>
      <c r="D7" s="137"/>
      <c r="E7" s="138"/>
      <c r="F7" s="137"/>
      <c r="G7" s="139"/>
      <c r="H7" s="137"/>
      <c r="I7" s="139"/>
      <c r="J7" s="140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</row>
    <row r="8" ht="15.75" customHeight="1">
      <c r="A8" s="136"/>
      <c r="B8" s="137"/>
      <c r="C8" s="138"/>
      <c r="D8" s="137"/>
      <c r="E8" s="138"/>
      <c r="F8" s="137"/>
      <c r="G8" s="139"/>
      <c r="H8" s="137"/>
      <c r="I8" s="139"/>
      <c r="J8" s="140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</row>
    <row r="9" ht="15.75" customHeight="1">
      <c r="A9" s="136"/>
      <c r="B9" s="137"/>
      <c r="C9" s="138"/>
      <c r="D9" s="137"/>
      <c r="E9" s="138"/>
      <c r="F9" s="137"/>
      <c r="G9" s="139"/>
      <c r="H9" s="137"/>
      <c r="I9" s="139"/>
      <c r="J9" s="140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</row>
    <row r="10" ht="15.75" customHeight="1">
      <c r="A10" s="136"/>
      <c r="B10" s="137"/>
      <c r="C10" s="138"/>
      <c r="D10" s="137"/>
      <c r="E10" s="138"/>
      <c r="F10" s="137"/>
      <c r="G10" s="139"/>
      <c r="H10" s="137"/>
      <c r="I10" s="139"/>
      <c r="J10" s="140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</row>
    <row r="11" ht="15.75" customHeight="1">
      <c r="A11" s="136"/>
      <c r="B11" s="137"/>
      <c r="C11" s="138"/>
      <c r="D11" s="137"/>
      <c r="E11" s="138"/>
      <c r="F11" s="137"/>
      <c r="G11" s="139"/>
      <c r="H11" s="137"/>
      <c r="I11" s="139"/>
      <c r="J11" s="140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</row>
    <row r="12" ht="15.75" customHeight="1">
      <c r="A12" s="136"/>
      <c r="B12" s="137"/>
      <c r="C12" s="138"/>
      <c r="D12" s="137"/>
      <c r="E12" s="138"/>
      <c r="F12" s="137"/>
      <c r="G12" s="139"/>
      <c r="H12" s="137"/>
      <c r="I12" s="139"/>
      <c r="J12" s="140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</row>
    <row r="13" ht="15.75" customHeight="1">
      <c r="A13" s="136"/>
      <c r="B13" s="137"/>
      <c r="C13" s="138"/>
      <c r="D13" s="137"/>
      <c r="E13" s="138"/>
      <c r="F13" s="137"/>
      <c r="G13" s="139"/>
      <c r="H13" s="137"/>
      <c r="I13" s="139"/>
      <c r="J13" s="140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</row>
    <row r="14" ht="15.75" customHeight="1">
      <c r="A14" s="136"/>
      <c r="B14" s="137"/>
      <c r="C14" s="138"/>
      <c r="D14" s="137"/>
      <c r="E14" s="138"/>
      <c r="F14" s="137"/>
      <c r="G14" s="139"/>
      <c r="H14" s="137"/>
      <c r="I14" s="139"/>
      <c r="J14" s="140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</row>
    <row r="15" ht="15.75" customHeight="1">
      <c r="A15" s="136"/>
      <c r="B15" s="137"/>
      <c r="C15" s="138"/>
      <c r="D15" s="137"/>
      <c r="E15" s="138"/>
      <c r="F15" s="137"/>
      <c r="G15" s="139"/>
      <c r="H15" s="137"/>
      <c r="I15" s="139"/>
      <c r="J15" s="140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</row>
    <row r="16" ht="15.75" customHeight="1">
      <c r="A16" s="136"/>
      <c r="B16" s="137"/>
      <c r="C16" s="138"/>
      <c r="D16" s="137"/>
      <c r="E16" s="138"/>
      <c r="F16" s="137"/>
      <c r="G16" s="139"/>
      <c r="H16" s="137"/>
      <c r="I16" s="139"/>
      <c r="J16" s="140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</row>
    <row r="17" ht="15.75" customHeight="1">
      <c r="A17" s="136"/>
      <c r="B17" s="137"/>
      <c r="C17" s="138"/>
      <c r="D17" s="137"/>
      <c r="E17" s="138"/>
      <c r="F17" s="137"/>
      <c r="G17" s="139"/>
      <c r="H17" s="137"/>
      <c r="I17" s="139"/>
      <c r="J17" s="140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  <c r="AA17" s="135"/>
      <c r="AB17" s="135"/>
      <c r="AC17" s="135"/>
    </row>
    <row r="18" ht="15.75" customHeight="1">
      <c r="A18" s="136"/>
      <c r="B18" s="137"/>
      <c r="C18" s="138"/>
      <c r="D18" s="137"/>
      <c r="E18" s="138"/>
      <c r="F18" s="137"/>
      <c r="G18" s="139"/>
      <c r="H18" s="137"/>
      <c r="I18" s="139"/>
      <c r="J18" s="140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</row>
    <row r="19" ht="15.75" customHeight="1">
      <c r="A19" s="136"/>
      <c r="B19" s="137"/>
      <c r="C19" s="138"/>
      <c r="D19" s="137"/>
      <c r="E19" s="138"/>
      <c r="F19" s="137"/>
      <c r="G19" s="139"/>
      <c r="H19" s="137"/>
      <c r="I19" s="139"/>
      <c r="J19" s="140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  <c r="AA19" s="135"/>
      <c r="AB19" s="135"/>
      <c r="AC19" s="135"/>
    </row>
    <row r="20" ht="15.75" customHeight="1">
      <c r="A20" s="136"/>
      <c r="B20" s="137"/>
      <c r="C20" s="138"/>
      <c r="D20" s="137"/>
      <c r="E20" s="138"/>
      <c r="F20" s="137"/>
      <c r="G20" s="139"/>
      <c r="H20" s="137"/>
      <c r="I20" s="139"/>
      <c r="J20" s="140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</row>
    <row r="21" ht="15.75" customHeight="1">
      <c r="A21" s="136"/>
      <c r="B21" s="137"/>
      <c r="C21" s="138"/>
      <c r="D21" s="137"/>
      <c r="E21" s="138"/>
      <c r="F21" s="137"/>
      <c r="G21" s="139"/>
      <c r="H21" s="137"/>
      <c r="I21" s="139"/>
      <c r="J21" s="140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  <c r="Z21" s="135"/>
      <c r="AA21" s="135"/>
      <c r="AB21" s="135"/>
      <c r="AC21" s="135"/>
    </row>
    <row r="22" ht="15.75" customHeight="1">
      <c r="A22" s="136"/>
      <c r="B22" s="137"/>
      <c r="C22" s="138"/>
      <c r="D22" s="137"/>
      <c r="E22" s="138"/>
      <c r="F22" s="137"/>
      <c r="G22" s="139"/>
      <c r="H22" s="137"/>
      <c r="I22" s="139"/>
      <c r="J22" s="140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</row>
    <row r="23" ht="15.75" customHeight="1">
      <c r="A23" s="136"/>
      <c r="B23" s="137"/>
      <c r="C23" s="138"/>
      <c r="D23" s="137"/>
      <c r="E23" s="138"/>
      <c r="F23" s="137"/>
      <c r="G23" s="139"/>
      <c r="H23" s="137"/>
      <c r="I23" s="139"/>
      <c r="J23" s="140"/>
      <c r="L23" s="146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  <c r="AG23" s="147"/>
      <c r="AH23" s="147"/>
      <c r="AI23" s="147"/>
      <c r="AJ23" s="147"/>
      <c r="AK23" s="147"/>
    </row>
    <row r="24" ht="15.75" customHeight="1">
      <c r="A24" s="136"/>
      <c r="B24" s="137"/>
      <c r="C24" s="138"/>
      <c r="D24" s="137"/>
      <c r="E24" s="138"/>
      <c r="F24" s="137"/>
      <c r="G24" s="139"/>
      <c r="H24" s="137"/>
      <c r="I24" s="139"/>
      <c r="J24" s="140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</row>
    <row r="25" ht="15.75" customHeight="1">
      <c r="A25" s="136"/>
      <c r="B25" s="137"/>
      <c r="C25" s="138"/>
      <c r="D25" s="137"/>
      <c r="E25" s="138"/>
      <c r="F25" s="137"/>
      <c r="G25" s="139"/>
      <c r="H25" s="137"/>
      <c r="I25" s="139"/>
      <c r="J25" s="140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  <c r="AJ25" s="147"/>
      <c r="AK25" s="147"/>
    </row>
    <row r="26" ht="15.75" customHeight="1">
      <c r="A26" s="136"/>
      <c r="B26" s="137"/>
      <c r="C26" s="138"/>
      <c r="D26" s="137"/>
      <c r="E26" s="138"/>
      <c r="F26" s="137"/>
      <c r="G26" s="139"/>
      <c r="H26" s="137"/>
      <c r="I26" s="139"/>
      <c r="J26" s="140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147"/>
      <c r="AE26" s="147"/>
      <c r="AF26" s="147"/>
      <c r="AG26" s="147"/>
      <c r="AH26" s="147"/>
      <c r="AI26" s="147"/>
      <c r="AJ26" s="147"/>
      <c r="AK26" s="147"/>
    </row>
    <row r="27" ht="15.75" customHeight="1">
      <c r="A27" s="136"/>
      <c r="B27" s="137"/>
      <c r="C27" s="138"/>
      <c r="D27" s="137"/>
      <c r="E27" s="138"/>
      <c r="F27" s="137"/>
      <c r="G27" s="139"/>
      <c r="H27" s="137"/>
      <c r="I27" s="139"/>
      <c r="J27" s="140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  <c r="AJ27" s="147"/>
      <c r="AK27" s="147"/>
    </row>
    <row r="28" ht="15.75" customHeight="1">
      <c r="A28" s="136"/>
      <c r="B28" s="137"/>
      <c r="C28" s="138"/>
      <c r="D28" s="137"/>
      <c r="E28" s="148"/>
      <c r="F28" s="137"/>
      <c r="G28" s="139"/>
      <c r="H28" s="137"/>
      <c r="I28" s="139"/>
      <c r="J28" s="140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  <c r="AJ28" s="147"/>
      <c r="AK28" s="147"/>
    </row>
    <row r="29" ht="15.75" customHeight="1">
      <c r="A29" s="136"/>
      <c r="B29" s="137"/>
      <c r="C29" s="138"/>
      <c r="D29" s="137"/>
      <c r="E29" s="138"/>
      <c r="F29" s="137"/>
      <c r="G29" s="139"/>
      <c r="H29" s="137"/>
      <c r="I29" s="139"/>
      <c r="J29" s="140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</row>
    <row r="30" ht="15.75" customHeight="1">
      <c r="A30" s="136"/>
      <c r="B30" s="137"/>
      <c r="C30" s="138"/>
      <c r="D30" s="137"/>
      <c r="E30" s="138"/>
      <c r="F30" s="137"/>
      <c r="G30" s="139"/>
      <c r="H30" s="137"/>
      <c r="I30" s="139"/>
      <c r="J30" s="140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</row>
    <row r="31" ht="15.75" customHeight="1">
      <c r="A31" s="136"/>
      <c r="B31" s="137"/>
      <c r="C31" s="138"/>
      <c r="D31" s="137"/>
      <c r="E31" s="138"/>
      <c r="F31" s="137"/>
      <c r="G31" s="139"/>
      <c r="H31" s="137"/>
      <c r="I31" s="139"/>
      <c r="J31" s="140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  <c r="AJ31" s="147"/>
      <c r="AK31" s="147"/>
    </row>
    <row r="32" ht="15.75" customHeight="1">
      <c r="A32" s="136"/>
      <c r="B32" s="137"/>
      <c r="C32" s="138"/>
      <c r="D32" s="137"/>
      <c r="E32" s="138"/>
      <c r="F32" s="137"/>
      <c r="G32" s="139"/>
      <c r="H32" s="137"/>
      <c r="I32" s="139"/>
      <c r="J32" s="140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</row>
    <row r="33" ht="15.75" customHeight="1">
      <c r="A33" s="136"/>
      <c r="B33" s="137"/>
      <c r="C33" s="138"/>
      <c r="D33" s="137"/>
      <c r="E33" s="138"/>
      <c r="F33" s="137"/>
      <c r="G33" s="139"/>
      <c r="H33" s="137"/>
      <c r="I33" s="139"/>
      <c r="J33" s="140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  <c r="AC33" s="147"/>
    </row>
    <row r="34" ht="15.75" customHeight="1">
      <c r="A34" s="136"/>
      <c r="B34" s="137"/>
      <c r="C34" s="138"/>
      <c r="D34" s="137"/>
      <c r="E34" s="138"/>
      <c r="F34" s="137"/>
      <c r="G34" s="139"/>
      <c r="H34" s="137"/>
      <c r="I34" s="139"/>
      <c r="J34" s="140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</row>
    <row r="35" ht="15.75" customHeight="1">
      <c r="A35" s="136"/>
      <c r="B35" s="137"/>
      <c r="C35" s="138"/>
      <c r="D35" s="137"/>
      <c r="E35" s="138"/>
      <c r="F35" s="137"/>
      <c r="G35" s="139"/>
      <c r="H35" s="137"/>
      <c r="I35" s="139"/>
      <c r="J35" s="140"/>
    </row>
    <row r="36" ht="15.75" customHeight="1">
      <c r="A36" s="136"/>
      <c r="B36" s="137"/>
      <c r="C36" s="138"/>
      <c r="D36" s="137"/>
      <c r="E36" s="138"/>
      <c r="F36" s="137"/>
      <c r="G36" s="139"/>
      <c r="H36" s="137"/>
      <c r="I36" s="139"/>
      <c r="J36" s="140"/>
    </row>
    <row r="37" ht="15.75" customHeight="1">
      <c r="A37" s="136"/>
      <c r="B37" s="137"/>
      <c r="C37" s="138"/>
      <c r="D37" s="137"/>
      <c r="E37" s="138"/>
      <c r="F37" s="137"/>
      <c r="G37" s="139"/>
      <c r="H37" s="137"/>
      <c r="I37" s="139"/>
      <c r="J37" s="140"/>
    </row>
    <row r="38" ht="15.75" customHeight="1">
      <c r="A38" s="136"/>
      <c r="B38" s="137"/>
      <c r="C38" s="138"/>
      <c r="D38" s="137"/>
      <c r="E38" s="138"/>
      <c r="F38" s="137"/>
      <c r="G38" s="139"/>
      <c r="H38" s="137"/>
      <c r="I38" s="139"/>
      <c r="J38" s="140"/>
    </row>
    <row r="39" ht="15.75" customHeight="1">
      <c r="A39" s="136"/>
      <c r="B39" s="137"/>
      <c r="C39" s="138"/>
      <c r="D39" s="137"/>
      <c r="E39" s="138"/>
      <c r="F39" s="137"/>
      <c r="G39" s="139"/>
      <c r="H39" s="137"/>
      <c r="I39" s="139"/>
      <c r="J39" s="140"/>
    </row>
    <row r="40" ht="15.75" customHeight="1">
      <c r="A40" s="136"/>
      <c r="B40" s="137"/>
      <c r="C40" s="138"/>
      <c r="D40" s="137"/>
      <c r="E40" s="138"/>
      <c r="F40" s="137"/>
      <c r="G40" s="139"/>
      <c r="H40" s="137"/>
      <c r="I40" s="139"/>
      <c r="J40" s="140"/>
    </row>
    <row r="41" ht="15.75" customHeight="1">
      <c r="A41" s="136"/>
      <c r="B41" s="137"/>
      <c r="C41" s="138"/>
      <c r="D41" s="137"/>
      <c r="E41" s="138"/>
      <c r="F41" s="137"/>
      <c r="G41" s="139"/>
      <c r="H41" s="137"/>
      <c r="I41" s="139"/>
      <c r="J41" s="140"/>
    </row>
    <row r="42" ht="15.75" customHeight="1">
      <c r="A42" s="136"/>
      <c r="B42" s="137"/>
      <c r="C42" s="138"/>
      <c r="D42" s="137"/>
      <c r="E42" s="138"/>
      <c r="F42" s="137"/>
      <c r="G42" s="139"/>
      <c r="H42" s="137"/>
      <c r="I42" s="139"/>
      <c r="J42" s="140"/>
    </row>
    <row r="43" ht="15.75" customHeight="1">
      <c r="A43" s="136"/>
      <c r="B43" s="137"/>
      <c r="C43" s="138"/>
      <c r="D43" s="137"/>
      <c r="E43" s="138"/>
      <c r="F43" s="137"/>
      <c r="G43" s="139"/>
      <c r="H43" s="137"/>
      <c r="I43" s="139"/>
      <c r="J43" s="140"/>
    </row>
    <row r="44" ht="15.75" customHeight="1">
      <c r="A44" s="136"/>
      <c r="B44" s="137"/>
      <c r="C44" s="138"/>
      <c r="D44" s="137"/>
      <c r="E44" s="138"/>
      <c r="F44" s="137"/>
      <c r="G44" s="139"/>
      <c r="H44" s="137"/>
      <c r="I44" s="139"/>
      <c r="J44" s="140"/>
    </row>
    <row r="45" ht="15.75" customHeight="1">
      <c r="A45" s="136"/>
      <c r="B45" s="137"/>
      <c r="C45" s="138"/>
      <c r="D45" s="137"/>
      <c r="E45" s="138"/>
      <c r="F45" s="137"/>
      <c r="G45" s="139"/>
      <c r="H45" s="137"/>
      <c r="I45" s="139"/>
      <c r="J45" s="140"/>
    </row>
    <row r="46" ht="15.75" customHeight="1">
      <c r="A46" s="147"/>
      <c r="B46" s="147"/>
      <c r="C46" s="147"/>
      <c r="D46" s="147"/>
      <c r="E46" s="147"/>
      <c r="F46" s="147"/>
      <c r="G46" s="147"/>
      <c r="H46" s="147"/>
      <c r="I46" s="147"/>
      <c r="J46" s="147"/>
    </row>
    <row r="47" ht="15.75" customHeight="1">
      <c r="A47" s="147"/>
      <c r="B47" s="147"/>
      <c r="C47" s="147"/>
      <c r="D47" s="147"/>
      <c r="E47" s="147"/>
      <c r="F47" s="147"/>
      <c r="G47" s="147"/>
      <c r="H47" s="147"/>
      <c r="I47" s="147"/>
      <c r="J47" s="147"/>
    </row>
    <row r="48" ht="15.75" customHeight="1">
      <c r="A48" s="149" t="s">
        <v>73</v>
      </c>
      <c r="B48" s="149" t="s">
        <v>74</v>
      </c>
      <c r="C48" s="147"/>
      <c r="D48" s="147"/>
      <c r="E48" s="147"/>
      <c r="F48" s="147"/>
      <c r="G48" s="147"/>
      <c r="H48" s="147"/>
      <c r="I48" s="147"/>
      <c r="J48" s="147"/>
    </row>
    <row r="49" ht="15.75" customHeight="1">
      <c r="A49" s="149" t="s">
        <v>75</v>
      </c>
      <c r="B49" s="149" t="s">
        <v>76</v>
      </c>
      <c r="C49" s="147"/>
      <c r="D49" s="147"/>
      <c r="E49" s="147"/>
      <c r="F49" s="147"/>
      <c r="G49" s="147"/>
      <c r="H49" s="147"/>
      <c r="I49" s="147"/>
      <c r="J49" s="147"/>
    </row>
    <row r="50" ht="15.75" customHeight="1">
      <c r="A50" s="149" t="s">
        <v>77</v>
      </c>
      <c r="B50" s="149">
        <v>0.0</v>
      </c>
      <c r="C50" s="147"/>
      <c r="D50" s="147"/>
      <c r="E50" s="147"/>
      <c r="F50" s="147"/>
      <c r="G50" s="147"/>
      <c r="H50" s="147"/>
      <c r="I50" s="147"/>
      <c r="J50" s="147"/>
    </row>
    <row r="51" ht="15.75" customHeight="1">
      <c r="A51" s="149" t="s">
        <v>78</v>
      </c>
      <c r="B51" s="150" t="s">
        <v>79</v>
      </c>
      <c r="C51" s="147"/>
      <c r="D51" s="147"/>
      <c r="E51" s="147"/>
      <c r="F51" s="147"/>
      <c r="G51" s="147"/>
      <c r="H51" s="147"/>
      <c r="I51" s="147"/>
      <c r="J51" s="147"/>
    </row>
    <row r="52" ht="15.75" customHeight="1">
      <c r="A52" s="151" t="s">
        <v>80</v>
      </c>
      <c r="B52" s="150" t="s">
        <v>81</v>
      </c>
      <c r="C52" s="147"/>
      <c r="D52" s="147"/>
      <c r="E52" s="147"/>
      <c r="F52" s="147"/>
      <c r="G52" s="147"/>
      <c r="H52" s="147"/>
      <c r="I52" s="147"/>
      <c r="J52" s="147"/>
    </row>
    <row r="53" ht="15.75" customHeight="1">
      <c r="B53" s="147"/>
      <c r="C53" s="147"/>
    </row>
    <row r="54" ht="15.75" customHeight="1">
      <c r="B54" s="147"/>
      <c r="C54" s="147"/>
    </row>
    <row r="55" ht="15.75" customHeight="1">
      <c r="B55" s="147"/>
      <c r="C55" s="147"/>
    </row>
    <row r="56" ht="15.75" customHeight="1">
      <c r="B56" s="147" t="s">
        <v>82</v>
      </c>
      <c r="C56" s="147" t="s">
        <v>83</v>
      </c>
    </row>
    <row r="57" ht="15.75" customHeight="1">
      <c r="B57" s="147" t="s">
        <v>84</v>
      </c>
      <c r="C57" s="147" t="s">
        <v>85</v>
      </c>
    </row>
    <row r="58" ht="15.75" customHeight="1">
      <c r="B58" s="147" t="s">
        <v>86</v>
      </c>
      <c r="C58" s="147" t="s">
        <v>87</v>
      </c>
    </row>
    <row r="59" ht="15.75" customHeight="1">
      <c r="B59" s="147" t="s">
        <v>88</v>
      </c>
      <c r="C59" s="147" t="s">
        <v>89</v>
      </c>
    </row>
    <row r="60" ht="15.75" customHeight="1">
      <c r="B60" s="147" t="s">
        <v>90</v>
      </c>
      <c r="C60" s="147" t="s">
        <v>91</v>
      </c>
    </row>
    <row r="61" ht="15.75" customHeight="1">
      <c r="A61" s="147"/>
      <c r="B61" s="147" t="s">
        <v>92</v>
      </c>
      <c r="C61" s="147" t="s">
        <v>93</v>
      </c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</row>
    <row r="62" ht="15.75" customHeight="1">
      <c r="A62" s="147"/>
      <c r="B62" s="147" t="s">
        <v>94</v>
      </c>
      <c r="C62" s="147" t="s">
        <v>95</v>
      </c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</row>
    <row r="63" ht="15.75" customHeight="1">
      <c r="A63" s="147"/>
      <c r="B63" s="147" t="s">
        <v>96</v>
      </c>
      <c r="C63" s="147" t="s">
        <v>97</v>
      </c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</row>
    <row r="64" ht="15.75" customHeight="1">
      <c r="A64" s="147"/>
      <c r="B64" s="147" t="s">
        <v>98</v>
      </c>
      <c r="C64" s="147" t="s">
        <v>99</v>
      </c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</row>
    <row r="65" ht="15.75" customHeight="1">
      <c r="A65" s="147"/>
      <c r="B65" s="147" t="s">
        <v>100</v>
      </c>
      <c r="C65" s="147" t="s">
        <v>101</v>
      </c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</row>
    <row r="66" ht="15.75" customHeight="1">
      <c r="A66" s="147"/>
      <c r="B66" s="147" t="s">
        <v>102</v>
      </c>
      <c r="C66" s="147" t="s">
        <v>103</v>
      </c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</row>
    <row r="67" ht="15.75" customHeight="1">
      <c r="A67" s="147"/>
      <c r="B67" s="147" t="s">
        <v>104</v>
      </c>
      <c r="C67" s="147" t="s">
        <v>105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</row>
    <row r="68" ht="15.75" customHeight="1">
      <c r="A68" s="147"/>
      <c r="B68" s="147" t="s">
        <v>106</v>
      </c>
      <c r="C68" s="147" t="s">
        <v>107</v>
      </c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</row>
    <row r="69" ht="15.75" customHeight="1">
      <c r="A69" s="147"/>
      <c r="B69" s="147" t="s">
        <v>108</v>
      </c>
      <c r="C69" s="147" t="s">
        <v>109</v>
      </c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</row>
    <row r="70" ht="15.75" customHeight="1">
      <c r="A70" s="147"/>
      <c r="B70" s="147" t="s">
        <v>110</v>
      </c>
      <c r="C70" s="147" t="s">
        <v>111</v>
      </c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</row>
    <row r="71" ht="15.75" customHeight="1">
      <c r="A71" s="147"/>
      <c r="B71" s="147" t="s">
        <v>112</v>
      </c>
      <c r="C71" s="147" t="s">
        <v>113</v>
      </c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</row>
    <row r="72" ht="15.75" customHeight="1">
      <c r="B72" s="147" t="s">
        <v>114</v>
      </c>
      <c r="C72" s="147" t="s">
        <v>115</v>
      </c>
    </row>
    <row r="73" ht="15.75" customHeight="1">
      <c r="B73" s="147" t="s">
        <v>116</v>
      </c>
      <c r="C73" s="147" t="s">
        <v>117</v>
      </c>
    </row>
    <row r="74" ht="15.75" customHeight="1">
      <c r="B74" s="147" t="s">
        <v>118</v>
      </c>
      <c r="C74" s="147" t="s">
        <v>119</v>
      </c>
    </row>
    <row r="75" ht="15.75" customHeight="1">
      <c r="B75" s="147" t="s">
        <v>120</v>
      </c>
      <c r="C75" s="147" t="s">
        <v>121</v>
      </c>
    </row>
    <row r="76" ht="15.75" customHeight="1">
      <c r="B76" s="147" t="s">
        <v>122</v>
      </c>
      <c r="C76" s="147" t="s">
        <v>123</v>
      </c>
    </row>
    <row r="77" ht="15.75" customHeight="1">
      <c r="B77" s="147" t="s">
        <v>124</v>
      </c>
      <c r="C77" s="147" t="s">
        <v>125</v>
      </c>
    </row>
    <row r="78" ht="15.75" customHeight="1">
      <c r="A78" s="147"/>
      <c r="B78" s="147" t="s">
        <v>126</v>
      </c>
      <c r="C78" s="147" t="s">
        <v>127</v>
      </c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</row>
    <row r="79" ht="15.75" customHeight="1">
      <c r="A79" s="147"/>
      <c r="B79" s="147" t="s">
        <v>128</v>
      </c>
      <c r="C79" s="147" t="s">
        <v>129</v>
      </c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</row>
    <row r="80" ht="15.75" customHeight="1">
      <c r="A80" s="147"/>
      <c r="B80" s="147" t="s">
        <v>130</v>
      </c>
      <c r="C80" s="147" t="s">
        <v>131</v>
      </c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</row>
    <row r="81" ht="15.75" customHeight="1">
      <c r="A81" s="147"/>
      <c r="B81" s="147" t="s">
        <v>132</v>
      </c>
      <c r="C81" s="147" t="s">
        <v>133</v>
      </c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</row>
    <row r="82" ht="15.75" customHeight="1">
      <c r="A82" s="147"/>
      <c r="B82" s="147" t="s">
        <v>134</v>
      </c>
      <c r="C82" s="147" t="s">
        <v>135</v>
      </c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</row>
    <row r="83" ht="15.75" customHeight="1">
      <c r="A83" s="147"/>
      <c r="B83" s="147" t="s">
        <v>136</v>
      </c>
      <c r="C83" s="147" t="s">
        <v>137</v>
      </c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</row>
    <row r="84" ht="15.75" customHeight="1">
      <c r="A84" s="147"/>
      <c r="B84" s="147" t="s">
        <v>138</v>
      </c>
      <c r="C84" s="147" t="s">
        <v>139</v>
      </c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</row>
    <row r="85" ht="15.75" customHeight="1">
      <c r="A85" s="147"/>
      <c r="B85" s="147" t="s">
        <v>140</v>
      </c>
      <c r="C85" s="147" t="s">
        <v>141</v>
      </c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</row>
    <row r="86" ht="15.75" customHeight="1">
      <c r="A86" s="147"/>
      <c r="B86" s="147" t="s">
        <v>142</v>
      </c>
      <c r="C86" s="147" t="s">
        <v>143</v>
      </c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</row>
    <row r="87" ht="15.75" customHeight="1">
      <c r="B87" s="147" t="s">
        <v>144</v>
      </c>
      <c r="C87" s="147" t="s">
        <v>145</v>
      </c>
    </row>
    <row r="88" ht="15.75" customHeight="1">
      <c r="B88" s="147" t="s">
        <v>146</v>
      </c>
      <c r="C88" s="147" t="s">
        <v>147</v>
      </c>
    </row>
    <row r="89" ht="15.75" customHeight="1">
      <c r="B89" s="147" t="s">
        <v>148</v>
      </c>
      <c r="C89" s="147" t="s">
        <v>149</v>
      </c>
    </row>
    <row r="90" ht="15.75" customHeight="1">
      <c r="B90" s="147" t="s">
        <v>150</v>
      </c>
      <c r="C90" s="147" t="s">
        <v>151</v>
      </c>
    </row>
    <row r="91" ht="15.75" customHeight="1">
      <c r="B91" s="147" t="s">
        <v>152</v>
      </c>
      <c r="C91" s="147" t="s">
        <v>153</v>
      </c>
    </row>
    <row r="92" ht="15.75" customHeight="1">
      <c r="B92" s="147" t="s">
        <v>154</v>
      </c>
      <c r="C92" s="147" t="s">
        <v>155</v>
      </c>
    </row>
    <row r="93" ht="15.75" customHeight="1">
      <c r="B93" s="147" t="s">
        <v>156</v>
      </c>
      <c r="C93" s="147" t="s">
        <v>157</v>
      </c>
    </row>
    <row r="94" ht="15.75" customHeight="1">
      <c r="B94" s="147" t="s">
        <v>158</v>
      </c>
      <c r="C94" s="147" t="s">
        <v>159</v>
      </c>
    </row>
    <row r="95" ht="15.75" customHeight="1">
      <c r="B95" s="147" t="s">
        <v>160</v>
      </c>
      <c r="C95" s="147" t="s">
        <v>161</v>
      </c>
    </row>
    <row r="96" ht="15.75" customHeight="1">
      <c r="B96" s="147" t="s">
        <v>162</v>
      </c>
      <c r="C96" s="147" t="s">
        <v>163</v>
      </c>
    </row>
    <row r="97" ht="15.75" customHeight="1">
      <c r="B97" s="147" t="s">
        <v>164</v>
      </c>
      <c r="C97" s="147" t="s">
        <v>165</v>
      </c>
    </row>
    <row r="98" ht="15.75" customHeight="1">
      <c r="B98" s="147" t="s">
        <v>166</v>
      </c>
      <c r="C98" s="147" t="s">
        <v>167</v>
      </c>
    </row>
    <row r="99" ht="15.75" customHeight="1">
      <c r="B99" s="147" t="s">
        <v>168</v>
      </c>
      <c r="C99" s="147" t="s">
        <v>169</v>
      </c>
    </row>
    <row r="100" ht="15.75" customHeight="1">
      <c r="B100" s="147" t="s">
        <v>170</v>
      </c>
      <c r="C100" s="147" t="s">
        <v>171</v>
      </c>
    </row>
    <row r="101" ht="15.75" customHeight="1">
      <c r="B101" s="147" t="s">
        <v>172</v>
      </c>
      <c r="C101" s="147" t="s">
        <v>173</v>
      </c>
    </row>
    <row r="102" ht="15.75" customHeight="1">
      <c r="B102" s="147" t="s">
        <v>174</v>
      </c>
      <c r="C102" s="147" t="s">
        <v>175</v>
      </c>
    </row>
    <row r="103" ht="15.75" customHeight="1">
      <c r="B103" s="147" t="s">
        <v>176</v>
      </c>
      <c r="C103" s="147" t="s">
        <v>177</v>
      </c>
    </row>
    <row r="104" ht="15.75" customHeight="1">
      <c r="B104" s="147" t="s">
        <v>178</v>
      </c>
      <c r="C104" s="147" t="s">
        <v>179</v>
      </c>
    </row>
    <row r="105" ht="15.75" customHeight="1">
      <c r="B105" s="147" t="s">
        <v>180</v>
      </c>
      <c r="C105" s="147" t="s">
        <v>181</v>
      </c>
    </row>
    <row r="106" ht="15.75" customHeight="1">
      <c r="B106" s="147" t="s">
        <v>182</v>
      </c>
      <c r="C106" s="147" t="s">
        <v>183</v>
      </c>
    </row>
    <row r="107" ht="15.75" customHeight="1">
      <c r="B107" s="147" t="s">
        <v>184</v>
      </c>
      <c r="C107" s="147" t="s">
        <v>185</v>
      </c>
    </row>
    <row r="108" ht="15.75" customHeight="1">
      <c r="B108" s="147" t="s">
        <v>186</v>
      </c>
      <c r="C108" s="147" t="s">
        <v>187</v>
      </c>
    </row>
    <row r="109" ht="15.75" customHeight="1">
      <c r="B109" s="147" t="s">
        <v>188</v>
      </c>
      <c r="C109" s="147" t="s">
        <v>189</v>
      </c>
    </row>
    <row r="110" ht="15.75" customHeight="1">
      <c r="B110" s="147" t="s">
        <v>190</v>
      </c>
      <c r="C110" s="147" t="s">
        <v>191</v>
      </c>
    </row>
    <row r="111" ht="15.75" customHeight="1">
      <c r="B111" s="147" t="s">
        <v>192</v>
      </c>
      <c r="C111" s="147" t="s">
        <v>193</v>
      </c>
    </row>
    <row r="112" ht="15.75" customHeight="1">
      <c r="B112" s="147" t="s">
        <v>194</v>
      </c>
      <c r="C112" s="147" t="s">
        <v>195</v>
      </c>
    </row>
    <row r="113" ht="15.75" customHeight="1">
      <c r="B113" s="147" t="s">
        <v>196</v>
      </c>
      <c r="C113" s="147" t="s">
        <v>197</v>
      </c>
    </row>
    <row r="114" ht="15.75" customHeight="1">
      <c r="B114" s="147" t="s">
        <v>198</v>
      </c>
      <c r="C114" s="147" t="s">
        <v>199</v>
      </c>
    </row>
    <row r="115" ht="15.75" customHeight="1">
      <c r="B115" s="147" t="s">
        <v>200</v>
      </c>
      <c r="C115" s="147" t="s">
        <v>201</v>
      </c>
    </row>
    <row r="116" ht="15.75" customHeight="1">
      <c r="B116" s="147" t="s">
        <v>202</v>
      </c>
      <c r="C116" s="147" t="s">
        <v>203</v>
      </c>
    </row>
    <row r="117" ht="15.75" customHeight="1">
      <c r="A117" s="152"/>
      <c r="B117" s="147" t="s">
        <v>204</v>
      </c>
      <c r="C117" s="147" t="s">
        <v>205</v>
      </c>
    </row>
    <row r="118" ht="15.75" customHeight="1">
      <c r="B118" s="153" t="s">
        <v>206</v>
      </c>
      <c r="C118" s="153" t="s">
        <v>207</v>
      </c>
      <c r="E118" s="152" t="s">
        <v>208</v>
      </c>
      <c r="F118" s="153" t="s">
        <v>209</v>
      </c>
      <c r="G118" s="152">
        <v>2.0</v>
      </c>
      <c r="J118" s="59"/>
    </row>
    <row r="119" ht="15.75" customHeight="1">
      <c r="B119" s="153" t="s">
        <v>210</v>
      </c>
      <c r="C119" s="153" t="s">
        <v>207</v>
      </c>
      <c r="E119" s="152" t="s">
        <v>211</v>
      </c>
      <c r="F119" s="153" t="s">
        <v>212</v>
      </c>
      <c r="G119" s="153">
        <v>0.45</v>
      </c>
    </row>
    <row r="120" ht="15.75" customHeight="1">
      <c r="B120" s="153" t="s">
        <v>213</v>
      </c>
      <c r="C120" s="153" t="s">
        <v>214</v>
      </c>
      <c r="E120" s="152" t="s">
        <v>215</v>
      </c>
      <c r="F120" s="153" t="s">
        <v>216</v>
      </c>
      <c r="G120" s="153">
        <v>3.5</v>
      </c>
    </row>
    <row r="121" ht="15.75" customHeight="1">
      <c r="B121" s="153" t="s">
        <v>217</v>
      </c>
      <c r="C121" s="153" t="s">
        <v>218</v>
      </c>
      <c r="E121" s="153" t="s">
        <v>219</v>
      </c>
      <c r="F121" s="153" t="s">
        <v>220</v>
      </c>
      <c r="G121" s="153">
        <v>2.1</v>
      </c>
    </row>
    <row r="122" ht="15.75" customHeight="1">
      <c r="B122" s="153" t="s">
        <v>221</v>
      </c>
      <c r="C122" s="153" t="s">
        <v>222</v>
      </c>
      <c r="E122" s="152" t="s">
        <v>223</v>
      </c>
      <c r="F122" s="153" t="s">
        <v>224</v>
      </c>
      <c r="G122" s="153">
        <v>2.6</v>
      </c>
    </row>
    <row r="123" ht="15.75" customHeight="1">
      <c r="B123" s="153" t="s">
        <v>225</v>
      </c>
      <c r="C123" s="153" t="s">
        <v>226</v>
      </c>
      <c r="E123" s="152" t="s">
        <v>227</v>
      </c>
      <c r="F123" s="153" t="s">
        <v>228</v>
      </c>
      <c r="G123" s="153">
        <v>1.0</v>
      </c>
    </row>
    <row r="124" ht="15.75" customHeight="1">
      <c r="B124" s="153" t="s">
        <v>229</v>
      </c>
      <c r="C124" s="153" t="s">
        <v>230</v>
      </c>
      <c r="E124" s="152" t="s">
        <v>231</v>
      </c>
      <c r="F124" s="153" t="s">
        <v>232</v>
      </c>
      <c r="G124" s="153">
        <v>4.0</v>
      </c>
    </row>
    <row r="125" ht="15.75" customHeight="1">
      <c r="B125" s="153" t="s">
        <v>233</v>
      </c>
      <c r="C125" s="153" t="s">
        <v>234</v>
      </c>
      <c r="E125" s="152" t="s">
        <v>235</v>
      </c>
      <c r="F125" s="153" t="s">
        <v>236</v>
      </c>
      <c r="G125" s="153">
        <v>5.0</v>
      </c>
    </row>
    <row r="126" ht="15.75" customHeight="1">
      <c r="B126" s="153" t="s">
        <v>237</v>
      </c>
      <c r="C126" s="153" t="s">
        <v>238</v>
      </c>
      <c r="E126" s="152" t="s">
        <v>239</v>
      </c>
      <c r="F126" s="153" t="s">
        <v>240</v>
      </c>
      <c r="G126" s="153">
        <v>6.0</v>
      </c>
    </row>
    <row r="127" ht="15.75" customHeight="1">
      <c r="B127" s="153" t="s">
        <v>241</v>
      </c>
      <c r="C127" s="153" t="s">
        <v>242</v>
      </c>
      <c r="E127" s="152" t="s">
        <v>243</v>
      </c>
      <c r="F127" s="153" t="s">
        <v>244</v>
      </c>
      <c r="G127" s="153">
        <v>2.0</v>
      </c>
    </row>
    <row r="128" ht="15.75" customHeight="1">
      <c r="B128" s="153" t="s">
        <v>245</v>
      </c>
      <c r="C128" s="153" t="s">
        <v>246</v>
      </c>
      <c r="E128" s="152" t="s">
        <v>247</v>
      </c>
      <c r="F128" s="153" t="s">
        <v>248</v>
      </c>
      <c r="G128" s="153">
        <v>0.5</v>
      </c>
    </row>
    <row r="129" ht="15.75" customHeight="1">
      <c r="B129" s="153" t="s">
        <v>249</v>
      </c>
      <c r="C129" s="153" t="s">
        <v>250</v>
      </c>
      <c r="E129" s="152" t="s">
        <v>251</v>
      </c>
      <c r="F129" s="153" t="s">
        <v>252</v>
      </c>
      <c r="G129" s="153">
        <v>0.6</v>
      </c>
    </row>
    <row r="130" ht="15.75" customHeight="1">
      <c r="B130" s="153" t="s">
        <v>253</v>
      </c>
      <c r="C130" s="153" t="s">
        <v>254</v>
      </c>
      <c r="E130" s="152" t="s">
        <v>255</v>
      </c>
      <c r="F130" s="153" t="s">
        <v>256</v>
      </c>
      <c r="G130" s="153">
        <v>0.7</v>
      </c>
    </row>
    <row r="131" ht="15.75" customHeight="1">
      <c r="B131" s="153" t="s">
        <v>257</v>
      </c>
      <c r="C131" s="153" t="s">
        <v>258</v>
      </c>
      <c r="E131" s="152" t="s">
        <v>259</v>
      </c>
      <c r="F131" s="153" t="s">
        <v>260</v>
      </c>
      <c r="G131" s="153">
        <v>0.25</v>
      </c>
    </row>
    <row r="132" ht="15.75" customHeight="1">
      <c r="B132" s="153" t="s">
        <v>261</v>
      </c>
      <c r="C132" s="153" t="s">
        <v>262</v>
      </c>
      <c r="E132" s="152" t="s">
        <v>263</v>
      </c>
      <c r="F132" s="153" t="s">
        <v>264</v>
      </c>
      <c r="G132" s="153">
        <v>0.25</v>
      </c>
    </row>
    <row r="133" ht="15.75" customHeight="1">
      <c r="B133" s="153" t="s">
        <v>265</v>
      </c>
      <c r="C133" s="153" t="s">
        <v>266</v>
      </c>
      <c r="E133" s="152" t="s">
        <v>267</v>
      </c>
      <c r="F133" s="153" t="s">
        <v>268</v>
      </c>
      <c r="G133" s="153">
        <v>0.25</v>
      </c>
    </row>
    <row r="134" ht="15.75" customHeight="1">
      <c r="B134" s="153" t="s">
        <v>269</v>
      </c>
      <c r="C134" s="153" t="s">
        <v>270</v>
      </c>
      <c r="E134" s="152" t="s">
        <v>271</v>
      </c>
      <c r="F134" s="153" t="s">
        <v>272</v>
      </c>
      <c r="G134" s="153">
        <v>2.0</v>
      </c>
    </row>
    <row r="135" ht="15.75" customHeight="1">
      <c r="B135" s="153" t="s">
        <v>273</v>
      </c>
      <c r="C135" s="153" t="s">
        <v>274</v>
      </c>
      <c r="E135" s="152" t="s">
        <v>275</v>
      </c>
      <c r="F135" s="153" t="s">
        <v>276</v>
      </c>
      <c r="G135" s="153">
        <v>3.0</v>
      </c>
    </row>
    <row r="136" ht="15.75" customHeight="1">
      <c r="B136" s="153" t="s">
        <v>277</v>
      </c>
      <c r="C136" s="153" t="s">
        <v>278</v>
      </c>
      <c r="E136" s="152" t="s">
        <v>279</v>
      </c>
      <c r="F136" s="153" t="s">
        <v>280</v>
      </c>
      <c r="G136" s="153">
        <v>2.0</v>
      </c>
    </row>
    <row r="137" ht="15.75" customHeight="1">
      <c r="B137" s="153" t="s">
        <v>281</v>
      </c>
      <c r="C137" s="153" t="s">
        <v>282</v>
      </c>
      <c r="E137" s="152" t="s">
        <v>283</v>
      </c>
      <c r="F137" s="153" t="s">
        <v>284</v>
      </c>
      <c r="G137" s="153">
        <v>2.0</v>
      </c>
    </row>
    <row r="138" ht="15.75" customHeight="1">
      <c r="B138" s="153" t="s">
        <v>285</v>
      </c>
      <c r="C138" s="153" t="s">
        <v>286</v>
      </c>
      <c r="E138" s="152" t="s">
        <v>287</v>
      </c>
      <c r="F138" s="153" t="s">
        <v>288</v>
      </c>
      <c r="G138" s="153">
        <v>2.5</v>
      </c>
    </row>
    <row r="139" ht="15.75" customHeight="1">
      <c r="B139" s="153" t="s">
        <v>289</v>
      </c>
      <c r="C139" s="153" t="s">
        <v>290</v>
      </c>
      <c r="E139" s="152" t="s">
        <v>291</v>
      </c>
      <c r="F139" s="153" t="s">
        <v>292</v>
      </c>
      <c r="G139" s="153">
        <v>3.0</v>
      </c>
    </row>
    <row r="140" ht="15.75" customHeight="1">
      <c r="B140" s="153" t="s">
        <v>293</v>
      </c>
      <c r="C140" s="153" t="s">
        <v>294</v>
      </c>
      <c r="E140" s="152" t="s">
        <v>295</v>
      </c>
      <c r="F140" s="153" t="s">
        <v>296</v>
      </c>
      <c r="G140" s="153">
        <v>1.5</v>
      </c>
    </row>
    <row r="141" ht="15.75" customHeight="1">
      <c r="B141" s="153" t="s">
        <v>297</v>
      </c>
      <c r="C141" s="153" t="s">
        <v>298</v>
      </c>
      <c r="E141" s="152" t="s">
        <v>299</v>
      </c>
      <c r="F141" s="153" t="s">
        <v>300</v>
      </c>
      <c r="G141" s="153">
        <v>1.5</v>
      </c>
    </row>
    <row r="142" ht="15.75" customHeight="1">
      <c r="B142" s="153" t="s">
        <v>301</v>
      </c>
      <c r="C142" s="153" t="s">
        <v>302</v>
      </c>
      <c r="E142" s="152" t="s">
        <v>303</v>
      </c>
      <c r="F142" s="153" t="s">
        <v>304</v>
      </c>
      <c r="G142" s="153">
        <v>2.0</v>
      </c>
    </row>
    <row r="143" ht="15.75" customHeight="1">
      <c r="B143" s="153" t="s">
        <v>305</v>
      </c>
      <c r="C143" s="153" t="s">
        <v>306</v>
      </c>
      <c r="E143" s="152" t="s">
        <v>307</v>
      </c>
      <c r="F143" s="153" t="s">
        <v>308</v>
      </c>
      <c r="G143" s="153">
        <v>0.2</v>
      </c>
    </row>
    <row r="144" ht="15.75" customHeight="1">
      <c r="B144" s="153" t="s">
        <v>309</v>
      </c>
      <c r="C144" s="153" t="s">
        <v>310</v>
      </c>
      <c r="E144" s="152" t="s">
        <v>311</v>
      </c>
      <c r="F144" s="153" t="s">
        <v>312</v>
      </c>
      <c r="G144" s="153">
        <v>2.0</v>
      </c>
    </row>
    <row r="145" ht="15.75" customHeight="1">
      <c r="B145" s="153" t="s">
        <v>313</v>
      </c>
      <c r="C145" s="153" t="s">
        <v>314</v>
      </c>
      <c r="E145" s="152" t="s">
        <v>315</v>
      </c>
      <c r="F145" s="153" t="s">
        <v>316</v>
      </c>
      <c r="G145" s="153">
        <v>1.0</v>
      </c>
    </row>
    <row r="146" ht="15.75" customHeight="1">
      <c r="B146" s="153" t="s">
        <v>317</v>
      </c>
      <c r="C146" s="153" t="s">
        <v>318</v>
      </c>
      <c r="E146" s="152" t="s">
        <v>319</v>
      </c>
      <c r="F146" s="153" t="s">
        <v>320</v>
      </c>
      <c r="G146" s="153">
        <v>0.3</v>
      </c>
    </row>
    <row r="147" ht="15.75" customHeight="1">
      <c r="B147" s="153" t="s">
        <v>321</v>
      </c>
      <c r="C147" s="153" t="s">
        <v>322</v>
      </c>
      <c r="E147" s="152" t="s">
        <v>323</v>
      </c>
      <c r="F147" s="153" t="s">
        <v>324</v>
      </c>
      <c r="G147" s="153">
        <v>0.15</v>
      </c>
    </row>
    <row r="148" ht="15.75" customHeight="1">
      <c r="B148" s="153" t="s">
        <v>325</v>
      </c>
      <c r="C148" s="153" t="s">
        <v>326</v>
      </c>
      <c r="E148" s="152" t="s">
        <v>327</v>
      </c>
      <c r="F148" s="153" t="s">
        <v>328</v>
      </c>
      <c r="G148" s="153">
        <v>2.0</v>
      </c>
    </row>
    <row r="149" ht="15.75" customHeight="1">
      <c r="B149" s="153" t="s">
        <v>329</v>
      </c>
      <c r="C149" s="153" t="s">
        <v>330</v>
      </c>
      <c r="E149" s="152" t="s">
        <v>331</v>
      </c>
      <c r="F149" s="153" t="s">
        <v>332</v>
      </c>
      <c r="G149" s="153">
        <v>2.0</v>
      </c>
    </row>
    <row r="150" ht="15.75" customHeight="1">
      <c r="B150" s="153" t="s">
        <v>333</v>
      </c>
      <c r="C150" s="153" t="s">
        <v>334</v>
      </c>
      <c r="E150" s="152" t="s">
        <v>335</v>
      </c>
      <c r="F150" s="153" t="s">
        <v>336</v>
      </c>
      <c r="G150" s="153">
        <v>2.0</v>
      </c>
    </row>
    <row r="151" ht="15.75" customHeight="1">
      <c r="B151" s="153" t="s">
        <v>337</v>
      </c>
      <c r="C151" s="153" t="s">
        <v>338</v>
      </c>
      <c r="E151" s="152" t="s">
        <v>339</v>
      </c>
      <c r="F151" s="153" t="s">
        <v>220</v>
      </c>
      <c r="G151" s="153">
        <v>2.0</v>
      </c>
    </row>
    <row r="152" ht="15.75" customHeight="1">
      <c r="B152" s="153" t="s">
        <v>340</v>
      </c>
      <c r="C152" s="153" t="s">
        <v>341</v>
      </c>
      <c r="E152" s="152" t="s">
        <v>342</v>
      </c>
      <c r="F152" s="153" t="s">
        <v>343</v>
      </c>
      <c r="G152" s="153">
        <v>3.0</v>
      </c>
    </row>
    <row r="153" ht="15.75" customHeight="1">
      <c r="B153" s="153" t="s">
        <v>344</v>
      </c>
      <c r="C153" s="153" t="s">
        <v>345</v>
      </c>
      <c r="E153" s="152" t="s">
        <v>346</v>
      </c>
      <c r="F153" s="153" t="s">
        <v>264</v>
      </c>
      <c r="G153" s="153">
        <v>0.2</v>
      </c>
    </row>
    <row r="154" ht="15.75" customHeight="1">
      <c r="B154" s="153" t="s">
        <v>347</v>
      </c>
      <c r="C154" s="153" t="s">
        <v>348</v>
      </c>
      <c r="E154" s="152" t="s">
        <v>349</v>
      </c>
      <c r="F154" s="153" t="s">
        <v>280</v>
      </c>
      <c r="G154" s="153">
        <v>2.0</v>
      </c>
    </row>
    <row r="155" ht="15.75" customHeight="1">
      <c r="B155" s="153" t="s">
        <v>350</v>
      </c>
      <c r="C155" s="153" t="s">
        <v>351</v>
      </c>
      <c r="E155" s="152" t="s">
        <v>352</v>
      </c>
      <c r="F155" s="153" t="s">
        <v>284</v>
      </c>
      <c r="G155" s="153">
        <v>2.0</v>
      </c>
    </row>
    <row r="156" ht="15.75" customHeight="1">
      <c r="B156" s="153" t="s">
        <v>353</v>
      </c>
      <c r="C156" s="153" t="s">
        <v>354</v>
      </c>
      <c r="E156" s="152" t="s">
        <v>355</v>
      </c>
      <c r="F156" s="153" t="s">
        <v>288</v>
      </c>
      <c r="G156" s="153">
        <v>2.0</v>
      </c>
    </row>
    <row r="157" ht="15.75" customHeight="1">
      <c r="B157" s="153" t="s">
        <v>356</v>
      </c>
      <c r="C157" s="153" t="s">
        <v>357</v>
      </c>
      <c r="E157" s="152" t="s">
        <v>358</v>
      </c>
      <c r="F157" s="153" t="s">
        <v>359</v>
      </c>
      <c r="G157" s="153">
        <v>1.5</v>
      </c>
    </row>
    <row r="158" ht="15.75" customHeight="1">
      <c r="B158" s="153" t="s">
        <v>360</v>
      </c>
      <c r="C158" s="153" t="s">
        <v>361</v>
      </c>
      <c r="E158" s="152" t="s">
        <v>362</v>
      </c>
      <c r="F158" s="153" t="s">
        <v>363</v>
      </c>
      <c r="G158" s="153">
        <v>2.0</v>
      </c>
    </row>
    <row r="159" ht="15.75" customHeight="1">
      <c r="B159" s="153" t="s">
        <v>364</v>
      </c>
      <c r="C159" s="153" t="s">
        <v>365</v>
      </c>
      <c r="E159" s="152" t="s">
        <v>366</v>
      </c>
      <c r="F159" s="153" t="s">
        <v>312</v>
      </c>
      <c r="G159" s="153">
        <v>2.0</v>
      </c>
    </row>
    <row r="160" ht="15.75" customHeight="1">
      <c r="B160" s="153" t="s">
        <v>367</v>
      </c>
      <c r="C160" s="153" t="s">
        <v>368</v>
      </c>
      <c r="E160" s="152" t="s">
        <v>369</v>
      </c>
      <c r="F160" s="153" t="s">
        <v>332</v>
      </c>
      <c r="G160" s="153">
        <v>2.0</v>
      </c>
    </row>
    <row r="161" ht="15.75" customHeight="1">
      <c r="B161" s="153" t="s">
        <v>370</v>
      </c>
      <c r="C161" s="153" t="s">
        <v>371</v>
      </c>
      <c r="E161" s="152" t="s">
        <v>372</v>
      </c>
      <c r="F161" s="153" t="s">
        <v>373</v>
      </c>
      <c r="G161" s="153">
        <v>2.0</v>
      </c>
    </row>
    <row r="162" ht="15.75" customHeight="1">
      <c r="B162" s="153" t="s">
        <v>374</v>
      </c>
      <c r="C162" s="153" t="s">
        <v>375</v>
      </c>
      <c r="E162" s="152"/>
    </row>
    <row r="163" ht="15.75" customHeight="1">
      <c r="B163" s="153" t="s">
        <v>376</v>
      </c>
      <c r="C163" s="153" t="s">
        <v>377</v>
      </c>
      <c r="E163" s="152"/>
    </row>
    <row r="164" ht="15.75" customHeight="1">
      <c r="B164" s="153" t="s">
        <v>378</v>
      </c>
      <c r="C164" s="153" t="s">
        <v>379</v>
      </c>
      <c r="E164" s="152"/>
    </row>
    <row r="165" ht="15.75" customHeight="1">
      <c r="B165" s="153" t="s">
        <v>380</v>
      </c>
      <c r="C165" s="153" t="s">
        <v>381</v>
      </c>
      <c r="E165" s="152"/>
    </row>
    <row r="166" ht="15.75" customHeight="1">
      <c r="B166" s="153" t="s">
        <v>382</v>
      </c>
      <c r="C166" s="153" t="s">
        <v>383</v>
      </c>
      <c r="E166" s="152"/>
    </row>
    <row r="167" ht="15.75" customHeight="1">
      <c r="B167" s="153" t="s">
        <v>384</v>
      </c>
      <c r="C167" s="153" t="s">
        <v>385</v>
      </c>
      <c r="E167" s="152"/>
    </row>
    <row r="168" ht="15.75" customHeight="1">
      <c r="B168" s="153" t="s">
        <v>386</v>
      </c>
      <c r="C168" s="153" t="s">
        <v>387</v>
      </c>
      <c r="E168" s="152"/>
    </row>
    <row r="169" ht="15.75" customHeight="1">
      <c r="B169" s="153" t="s">
        <v>388</v>
      </c>
      <c r="C169" s="153" t="s">
        <v>389</v>
      </c>
      <c r="E169" s="152"/>
    </row>
    <row r="170" ht="15.75" customHeight="1">
      <c r="B170" s="153" t="s">
        <v>390</v>
      </c>
      <c r="C170" s="153" t="s">
        <v>391</v>
      </c>
      <c r="E170" s="152"/>
    </row>
    <row r="171" ht="15.75" customHeight="1">
      <c r="B171" s="153" t="s">
        <v>392</v>
      </c>
      <c r="C171" s="153" t="s">
        <v>393</v>
      </c>
      <c r="E171" s="152"/>
    </row>
    <row r="172" ht="15.75" customHeight="1">
      <c r="B172" s="153" t="s">
        <v>394</v>
      </c>
      <c r="C172" s="153" t="s">
        <v>395</v>
      </c>
      <c r="E172" s="152"/>
    </row>
    <row r="173" ht="15.75" customHeight="1">
      <c r="B173" s="153" t="s">
        <v>396</v>
      </c>
      <c r="C173" s="153" t="s">
        <v>397</v>
      </c>
      <c r="E173" s="152"/>
    </row>
    <row r="174" ht="15.75" customHeight="1">
      <c r="B174" s="153" t="s">
        <v>398</v>
      </c>
      <c r="C174" s="153" t="s">
        <v>399</v>
      </c>
      <c r="E174" s="152"/>
    </row>
    <row r="175" ht="15.75" customHeight="1">
      <c r="B175" s="153" t="s">
        <v>400</v>
      </c>
      <c r="C175" s="153" t="s">
        <v>401</v>
      </c>
      <c r="E175" s="152"/>
    </row>
    <row r="176" ht="15.75" customHeight="1">
      <c r="B176" s="153" t="s">
        <v>402</v>
      </c>
      <c r="C176" s="153" t="s">
        <v>403</v>
      </c>
      <c r="E176" s="152"/>
    </row>
    <row r="177" ht="15.75" customHeight="1">
      <c r="B177" s="153" t="s">
        <v>404</v>
      </c>
      <c r="C177" s="153" t="s">
        <v>405</v>
      </c>
      <c r="E177" s="152"/>
    </row>
    <row r="178" ht="15.75" customHeight="1">
      <c r="B178" s="153" t="s">
        <v>406</v>
      </c>
      <c r="C178" s="153" t="s">
        <v>407</v>
      </c>
      <c r="E178" s="152"/>
    </row>
    <row r="179" ht="15.75" customHeight="1">
      <c r="B179" s="153" t="s">
        <v>408</v>
      </c>
      <c r="C179" s="153" t="s">
        <v>409</v>
      </c>
      <c r="E179" s="152"/>
    </row>
    <row r="180" ht="15.75" customHeight="1">
      <c r="B180" s="153" t="s">
        <v>410</v>
      </c>
      <c r="C180" s="153" t="s">
        <v>411</v>
      </c>
      <c r="E180" s="152"/>
    </row>
    <row r="181" ht="15.75" customHeight="1">
      <c r="B181" s="153" t="s">
        <v>412</v>
      </c>
      <c r="C181" s="153" t="s">
        <v>413</v>
      </c>
      <c r="E181" s="152"/>
    </row>
    <row r="182" ht="15.75" customHeight="1">
      <c r="B182" s="153" t="s">
        <v>414</v>
      </c>
      <c r="C182" s="153" t="s">
        <v>415</v>
      </c>
      <c r="E182" s="152"/>
    </row>
    <row r="183" ht="15.75" customHeight="1">
      <c r="B183" s="153" t="s">
        <v>416</v>
      </c>
      <c r="C183" s="153" t="s">
        <v>417</v>
      </c>
      <c r="E183" s="152"/>
    </row>
    <row r="184" ht="15.75" customHeight="1">
      <c r="B184" s="153" t="s">
        <v>418</v>
      </c>
      <c r="C184" s="153" t="s">
        <v>419</v>
      </c>
      <c r="E184" s="152"/>
    </row>
    <row r="185" ht="15.75" customHeight="1">
      <c r="B185" s="153" t="s">
        <v>420</v>
      </c>
      <c r="C185" s="153" t="s">
        <v>421</v>
      </c>
      <c r="E185" s="152"/>
    </row>
    <row r="186" ht="15.75" customHeight="1">
      <c r="B186" s="153" t="s">
        <v>422</v>
      </c>
      <c r="C186" s="153" t="s">
        <v>423</v>
      </c>
      <c r="E186" s="152"/>
    </row>
    <row r="187" ht="15.75" customHeight="1">
      <c r="B187" s="153" t="s">
        <v>424</v>
      </c>
      <c r="C187" s="153" t="s">
        <v>425</v>
      </c>
      <c r="E187" s="152"/>
    </row>
    <row r="188" ht="15.75" customHeight="1">
      <c r="B188" s="153" t="s">
        <v>426</v>
      </c>
      <c r="C188" s="153" t="s">
        <v>427</v>
      </c>
    </row>
    <row r="189" ht="15.75" customHeight="1">
      <c r="B189" s="153" t="s">
        <v>428</v>
      </c>
      <c r="C189" s="153" t="s">
        <v>429</v>
      </c>
    </row>
    <row r="190" ht="15.75" customHeight="1">
      <c r="B190" s="153" t="s">
        <v>430</v>
      </c>
      <c r="C190" s="153" t="s">
        <v>431</v>
      </c>
    </row>
    <row r="191" ht="15.75" customHeight="1">
      <c r="B191" s="153" t="s">
        <v>432</v>
      </c>
      <c r="C191" s="153" t="s">
        <v>433</v>
      </c>
    </row>
    <row r="192" ht="15.75" customHeight="1">
      <c r="B192" s="153" t="s">
        <v>434</v>
      </c>
      <c r="C192" s="153" t="s">
        <v>435</v>
      </c>
    </row>
    <row r="193" ht="15.75" customHeight="1">
      <c r="B193" s="153" t="s">
        <v>436</v>
      </c>
      <c r="C193" s="153" t="s">
        <v>437</v>
      </c>
    </row>
    <row r="194" ht="15.75" customHeight="1">
      <c r="B194" s="153" t="s">
        <v>438</v>
      </c>
      <c r="C194" s="153" t="s">
        <v>439</v>
      </c>
    </row>
    <row r="195" ht="15.75" customHeight="1">
      <c r="B195" s="153" t="s">
        <v>440</v>
      </c>
      <c r="C195" s="153" t="s">
        <v>441</v>
      </c>
    </row>
    <row r="196" ht="15.75" customHeight="1">
      <c r="B196" s="153" t="s">
        <v>442</v>
      </c>
      <c r="C196" s="153" t="s">
        <v>443</v>
      </c>
    </row>
    <row r="197" ht="15.75" customHeight="1">
      <c r="B197" s="153" t="s">
        <v>444</v>
      </c>
      <c r="C197" s="153" t="s">
        <v>445</v>
      </c>
    </row>
    <row r="198" ht="15.75" customHeight="1">
      <c r="B198" s="153" t="s">
        <v>446</v>
      </c>
      <c r="C198" s="153" t="s">
        <v>447</v>
      </c>
    </row>
    <row r="199" ht="15.75" customHeight="1">
      <c r="B199" s="153" t="s">
        <v>448</v>
      </c>
      <c r="C199" s="153" t="s">
        <v>449</v>
      </c>
    </row>
    <row r="200" ht="15.75" customHeight="1">
      <c r="B200" s="153" t="s">
        <v>450</v>
      </c>
      <c r="C200" s="154" t="b">
        <v>0</v>
      </c>
    </row>
    <row r="201" ht="15.75" customHeight="1">
      <c r="B201" s="153" t="s">
        <v>451</v>
      </c>
      <c r="C201" s="153" t="s">
        <v>452</v>
      </c>
    </row>
    <row r="202" ht="15.75" customHeight="1">
      <c r="B202" s="153" t="s">
        <v>453</v>
      </c>
      <c r="C202" s="153" t="s">
        <v>454</v>
      </c>
    </row>
    <row r="203" ht="15.75" customHeight="1">
      <c r="B203" s="153" t="s">
        <v>455</v>
      </c>
      <c r="C203" s="153" t="s">
        <v>456</v>
      </c>
    </row>
    <row r="204" ht="15.75" customHeight="1">
      <c r="B204" s="153" t="s">
        <v>457</v>
      </c>
      <c r="C204" s="153" t="s">
        <v>458</v>
      </c>
    </row>
    <row r="205" ht="15.75" customHeight="1">
      <c r="B205" s="153" t="s">
        <v>459</v>
      </c>
      <c r="C205" s="153" t="s">
        <v>460</v>
      </c>
    </row>
    <row r="206" ht="15.75" customHeight="1">
      <c r="B206" s="153" t="s">
        <v>461</v>
      </c>
      <c r="C206" s="153" t="s">
        <v>462</v>
      </c>
    </row>
    <row r="207" ht="15.75" customHeight="1">
      <c r="B207" s="153" t="s">
        <v>463</v>
      </c>
      <c r="C207" s="153" t="s">
        <v>464</v>
      </c>
    </row>
    <row r="208" ht="15.75" customHeight="1">
      <c r="B208" s="153" t="s">
        <v>465</v>
      </c>
      <c r="C208" s="153" t="s">
        <v>466</v>
      </c>
    </row>
    <row r="209" ht="15.75" customHeight="1">
      <c r="B209" s="153" t="s">
        <v>467</v>
      </c>
      <c r="C209" s="153" t="s">
        <v>468</v>
      </c>
    </row>
    <row r="210" ht="15.75" customHeight="1">
      <c r="B210" s="153" t="s">
        <v>469</v>
      </c>
      <c r="C210" s="153" t="s">
        <v>470</v>
      </c>
    </row>
    <row r="211" ht="15.75" customHeight="1">
      <c r="B211" s="153" t="s">
        <v>471</v>
      </c>
      <c r="C211" s="153" t="s">
        <v>472</v>
      </c>
    </row>
    <row r="212" ht="15.75" customHeight="1">
      <c r="B212" s="153" t="s">
        <v>473</v>
      </c>
      <c r="C212" s="153" t="s">
        <v>474</v>
      </c>
    </row>
    <row r="213" ht="15.75" customHeight="1">
      <c r="B213" s="153" t="s">
        <v>475</v>
      </c>
      <c r="C213" s="153" t="s">
        <v>476</v>
      </c>
    </row>
    <row r="214" ht="15.75" customHeight="1">
      <c r="B214" s="153" t="s">
        <v>477</v>
      </c>
      <c r="C214" s="153" t="s">
        <v>478</v>
      </c>
    </row>
    <row r="215" ht="15.75" customHeight="1">
      <c r="B215" s="153" t="s">
        <v>479</v>
      </c>
      <c r="C215" s="153" t="s">
        <v>480</v>
      </c>
    </row>
    <row r="216" ht="15.75" customHeight="1">
      <c r="B216" s="153" t="s">
        <v>481</v>
      </c>
      <c r="C216" s="153" t="s">
        <v>482</v>
      </c>
    </row>
    <row r="217" ht="15.75" customHeight="1">
      <c r="B217" s="153" t="s">
        <v>483</v>
      </c>
      <c r="C217" s="153" t="s">
        <v>484</v>
      </c>
    </row>
    <row r="218" ht="15.75" customHeight="1">
      <c r="B218" s="153" t="s">
        <v>485</v>
      </c>
      <c r="C218" s="153" t="s">
        <v>486</v>
      </c>
    </row>
    <row r="219" ht="15.75" customHeight="1">
      <c r="B219" s="153" t="s">
        <v>487</v>
      </c>
      <c r="C219" s="153" t="s">
        <v>488</v>
      </c>
    </row>
    <row r="220" ht="15.75" customHeight="1">
      <c r="B220" s="153" t="s">
        <v>489</v>
      </c>
      <c r="C220" s="153" t="s">
        <v>490</v>
      </c>
    </row>
    <row r="221" ht="15.75" customHeight="1">
      <c r="B221" s="153" t="s">
        <v>491</v>
      </c>
      <c r="C221" s="153" t="s">
        <v>492</v>
      </c>
    </row>
    <row r="222" ht="15.75" customHeight="1">
      <c r="B222" s="153" t="s">
        <v>493</v>
      </c>
      <c r="C222" s="153" t="s">
        <v>494</v>
      </c>
    </row>
    <row r="223" ht="15.75" customHeight="1">
      <c r="B223" s="153" t="s">
        <v>495</v>
      </c>
      <c r="C223" s="153" t="s">
        <v>496</v>
      </c>
    </row>
    <row r="224" ht="15.75" customHeight="1">
      <c r="B224" s="153" t="s">
        <v>497</v>
      </c>
      <c r="C224" s="153" t="s">
        <v>498</v>
      </c>
    </row>
    <row r="225" ht="15.75" customHeight="1">
      <c r="B225" s="153" t="s">
        <v>499</v>
      </c>
      <c r="C225" s="153" t="s">
        <v>500</v>
      </c>
    </row>
    <row r="226" ht="15.75" customHeight="1">
      <c r="B226" s="153" t="s">
        <v>501</v>
      </c>
      <c r="C226" s="153" t="s">
        <v>502</v>
      </c>
    </row>
    <row r="227" ht="15.75" customHeight="1">
      <c r="B227" s="153" t="s">
        <v>503</v>
      </c>
      <c r="C227" s="153" t="s">
        <v>504</v>
      </c>
    </row>
    <row r="228" ht="15.75" customHeight="1">
      <c r="B228" s="153" t="s">
        <v>505</v>
      </c>
      <c r="C228" s="153" t="s">
        <v>506</v>
      </c>
    </row>
    <row r="229" ht="15.75" customHeight="1">
      <c r="B229" s="153" t="s">
        <v>507</v>
      </c>
      <c r="C229" s="153" t="s">
        <v>508</v>
      </c>
    </row>
    <row r="230" ht="15.75" customHeight="1">
      <c r="B230" s="153" t="s">
        <v>509</v>
      </c>
      <c r="C230" s="153" t="s">
        <v>510</v>
      </c>
    </row>
    <row r="231" ht="15.75" customHeight="1">
      <c r="B231" s="153" t="s">
        <v>511</v>
      </c>
      <c r="C231" s="153" t="s">
        <v>512</v>
      </c>
    </row>
    <row r="232" ht="15.75" customHeight="1">
      <c r="B232" s="153" t="s">
        <v>513</v>
      </c>
      <c r="C232" s="153" t="s">
        <v>514</v>
      </c>
    </row>
    <row r="233" ht="15.75" customHeight="1">
      <c r="B233" s="147" t="s">
        <v>515</v>
      </c>
      <c r="C233" s="152" t="s">
        <v>516</v>
      </c>
    </row>
    <row r="234" ht="15.75" customHeight="1">
      <c r="B234" s="153" t="s">
        <v>517</v>
      </c>
      <c r="C234" s="153" t="s">
        <v>518</v>
      </c>
    </row>
    <row r="235" ht="15.75" customHeight="1">
      <c r="B235" s="153" t="s">
        <v>519</v>
      </c>
      <c r="C235" s="153" t="s">
        <v>520</v>
      </c>
    </row>
    <row r="236" ht="15.75" customHeight="1">
      <c r="B236" s="153" t="s">
        <v>521</v>
      </c>
      <c r="C236" s="153" t="s">
        <v>522</v>
      </c>
    </row>
    <row r="237" ht="15.75" customHeight="1">
      <c r="B237" s="153" t="s">
        <v>523</v>
      </c>
      <c r="C237" s="153" t="s">
        <v>524</v>
      </c>
    </row>
    <row r="238" ht="15.75" customHeight="1">
      <c r="B238" s="153" t="s">
        <v>525</v>
      </c>
      <c r="C238" s="153" t="s">
        <v>526</v>
      </c>
    </row>
    <row r="239" ht="15.75" customHeight="1">
      <c r="B239" s="153" t="s">
        <v>527</v>
      </c>
      <c r="C239" s="153" t="s">
        <v>528</v>
      </c>
    </row>
    <row r="240" ht="15.75" customHeight="1">
      <c r="B240" s="153" t="s">
        <v>529</v>
      </c>
      <c r="C240" s="153" t="s">
        <v>530</v>
      </c>
    </row>
    <row r="241" ht="15.75" customHeight="1">
      <c r="B241" s="153" t="s">
        <v>531</v>
      </c>
      <c r="C241" s="153" t="s">
        <v>532</v>
      </c>
    </row>
    <row r="242" ht="15.75" customHeight="1">
      <c r="B242" s="147" t="s">
        <v>533</v>
      </c>
      <c r="C242" s="147" t="s">
        <v>534</v>
      </c>
    </row>
    <row r="243" ht="15.75" customHeight="1">
      <c r="B243" s="147" t="s">
        <v>535</v>
      </c>
      <c r="C243" s="147" t="s">
        <v>536</v>
      </c>
    </row>
    <row r="244" ht="15.75" customHeight="1">
      <c r="B244" s="147" t="s">
        <v>537</v>
      </c>
      <c r="C244" s="147" t="s">
        <v>538</v>
      </c>
    </row>
    <row r="245" ht="15.75" customHeight="1">
      <c r="B245" s="147" t="s">
        <v>539</v>
      </c>
      <c r="C245" s="147" t="s">
        <v>540</v>
      </c>
    </row>
    <row r="246" ht="15.75" customHeight="1">
      <c r="B246" s="147" t="s">
        <v>541</v>
      </c>
      <c r="C246" s="147" t="s">
        <v>542</v>
      </c>
    </row>
    <row r="247" ht="15.75" customHeight="1">
      <c r="B247" s="147" t="s">
        <v>543</v>
      </c>
      <c r="C247" s="147" t="s">
        <v>544</v>
      </c>
    </row>
    <row r="248" ht="15.75" customHeight="1">
      <c r="B248" s="147" t="s">
        <v>545</v>
      </c>
      <c r="C248" s="147" t="s">
        <v>546</v>
      </c>
    </row>
    <row r="249" ht="15.75" customHeight="1">
      <c r="B249" s="147" t="s">
        <v>547</v>
      </c>
      <c r="C249" s="147" t="s">
        <v>548</v>
      </c>
    </row>
    <row r="250" ht="15.75" customHeight="1">
      <c r="B250" s="147" t="s">
        <v>549</v>
      </c>
      <c r="C250" s="147" t="s">
        <v>550</v>
      </c>
    </row>
    <row r="251" ht="15.75" customHeight="1">
      <c r="B251" s="147" t="s">
        <v>551</v>
      </c>
      <c r="C251" s="147" t="s">
        <v>552</v>
      </c>
    </row>
    <row r="252" ht="15.75" customHeight="1">
      <c r="B252" s="155" t="s">
        <v>553</v>
      </c>
      <c r="C252" s="147" t="s">
        <v>554</v>
      </c>
    </row>
    <row r="253" ht="15.75" customHeight="1">
      <c r="B253" s="147" t="s">
        <v>555</v>
      </c>
      <c r="C253" s="147" t="s">
        <v>556</v>
      </c>
    </row>
    <row r="254" ht="15.75" customHeight="1">
      <c r="B254" s="147" t="s">
        <v>557</v>
      </c>
      <c r="C254" s="147" t="s">
        <v>558</v>
      </c>
    </row>
    <row r="255" ht="15.75" customHeight="1">
      <c r="B255" s="147" t="s">
        <v>559</v>
      </c>
      <c r="C255" s="147" t="s">
        <v>560</v>
      </c>
    </row>
    <row r="256" ht="15.75" customHeight="1">
      <c r="B256" s="147" t="s">
        <v>561</v>
      </c>
      <c r="C256" s="147" t="s">
        <v>562</v>
      </c>
      <c r="AD256" s="153"/>
    </row>
    <row r="257" ht="15.75" customHeight="1">
      <c r="B257" s="147" t="s">
        <v>563</v>
      </c>
      <c r="C257" s="147" t="s">
        <v>564</v>
      </c>
      <c r="AD257" s="153">
        <v>0.0</v>
      </c>
    </row>
    <row r="258" ht="15.75" customHeight="1">
      <c r="B258" s="147" t="s">
        <v>565</v>
      </c>
      <c r="C258" s="147" t="s">
        <v>566</v>
      </c>
      <c r="AD258" s="153">
        <v>0.0</v>
      </c>
    </row>
    <row r="259" ht="15.75" customHeight="1">
      <c r="B259" s="147" t="s">
        <v>567</v>
      </c>
      <c r="C259" s="147" t="s">
        <v>568</v>
      </c>
      <c r="AD259" s="153">
        <v>0.0</v>
      </c>
    </row>
    <row r="260" ht="15.75" customHeight="1">
      <c r="B260" s="147" t="s">
        <v>569</v>
      </c>
      <c r="C260" s="147" t="s">
        <v>570</v>
      </c>
      <c r="AD260" s="153">
        <v>0.0</v>
      </c>
    </row>
    <row r="261" ht="15.75" customHeight="1">
      <c r="B261" s="147" t="s">
        <v>571</v>
      </c>
      <c r="C261" s="147" t="s">
        <v>572</v>
      </c>
      <c r="AD261" s="153">
        <v>0.0</v>
      </c>
    </row>
    <row r="262" ht="15.75" customHeight="1">
      <c r="B262" s="147" t="s">
        <v>573</v>
      </c>
      <c r="C262" s="147" t="s">
        <v>574</v>
      </c>
      <c r="AD262" s="153">
        <v>0.0</v>
      </c>
    </row>
    <row r="263" ht="15.75" customHeight="1">
      <c r="B263" s="147" t="s">
        <v>575</v>
      </c>
      <c r="C263" s="147" t="s">
        <v>576</v>
      </c>
    </row>
    <row r="264" ht="15.75" customHeight="1">
      <c r="B264" s="147" t="s">
        <v>577</v>
      </c>
      <c r="C264" s="147" t="s">
        <v>578</v>
      </c>
    </row>
    <row r="265" ht="15.75" customHeight="1">
      <c r="B265" s="147" t="s">
        <v>579</v>
      </c>
      <c r="C265" s="147" t="s">
        <v>580</v>
      </c>
    </row>
    <row r="266" ht="15.75" customHeight="1">
      <c r="B266" s="147" t="s">
        <v>581</v>
      </c>
      <c r="C266" s="147" t="s">
        <v>582</v>
      </c>
    </row>
    <row r="267" ht="15.75" customHeight="1">
      <c r="B267" s="147" t="s">
        <v>583</v>
      </c>
      <c r="C267" s="147" t="s">
        <v>584</v>
      </c>
    </row>
    <row r="268" ht="15.75" customHeight="1">
      <c r="B268" s="147" t="s">
        <v>585</v>
      </c>
      <c r="C268" s="147" t="s">
        <v>586</v>
      </c>
    </row>
    <row r="269" ht="15.75" customHeight="1">
      <c r="B269" s="147" t="s">
        <v>587</v>
      </c>
      <c r="C269" s="147" t="s">
        <v>588</v>
      </c>
    </row>
    <row r="270" ht="15.75" customHeight="1">
      <c r="B270" s="147" t="s">
        <v>589</v>
      </c>
      <c r="C270" s="147" t="s">
        <v>590</v>
      </c>
    </row>
    <row r="271" ht="15.75" customHeight="1">
      <c r="A271" s="156">
        <v>46054.0</v>
      </c>
      <c r="G271" s="157" t="str">
        <f>"Games Assigned: "&amp;COUNTA(A272:A992)</f>
        <v>Games Assigned: 0</v>
      </c>
      <c r="I271" s="157" t="str">
        <f>"Games Covered: "&amp;COUNTIF(L272:L992,"Covered")+COUNTIF(L272:L992,"Removed")</f>
        <v>Games Covered: 0</v>
      </c>
      <c r="J271" s="157" t="str">
        <f t="array" ref="J271">"Total Earnings: "&amp;TEXT(SUMIFS(K272:K992,L272:L992,"Covered")+SUMIFS(K272:K992,L272:L992,"Removed"),"#,##0")&amp;" ₺ | Work Units: "&amp;TEXT(ROUND((SUMIFS(K272:K992,L272:L992,"Covered")+SUMIFS(K272:K992,L272:L992,"Removed"))/INDEX(SET!$B$28:$J$28,1,SET!$B$50+1),1),"0.0")</f>
        <v>#DIV/0!</v>
      </c>
    </row>
    <row r="272" ht="30.0" customHeight="1">
      <c r="A272" s="127"/>
      <c r="B272" s="127"/>
      <c r="C272" s="127"/>
      <c r="D272" s="128"/>
      <c r="E272" s="129"/>
      <c r="F272" s="129"/>
      <c r="G272" s="129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  <c r="AA272" s="127"/>
      <c r="AB272" s="127"/>
      <c r="AC272" s="127"/>
      <c r="AD272" s="127"/>
      <c r="AE272" s="127"/>
      <c r="AF272" s="127"/>
      <c r="AG272" s="127"/>
      <c r="AH272" s="127"/>
      <c r="AI272" s="127"/>
      <c r="AJ272" s="127"/>
      <c r="AK272" s="127"/>
      <c r="AL272" s="127"/>
      <c r="AM272" s="127"/>
      <c r="AN272" s="127"/>
    </row>
    <row r="273" ht="30.0" customHeight="1">
      <c r="A273" s="127"/>
      <c r="B273" s="127"/>
      <c r="C273" s="127"/>
      <c r="D273" s="128"/>
      <c r="E273" s="129"/>
      <c r="F273" s="129"/>
      <c r="G273" s="129"/>
      <c r="H273" s="127"/>
      <c r="I273" s="127"/>
      <c r="J273" s="127"/>
      <c r="K273" s="127"/>
      <c r="L273" s="127"/>
      <c r="M273" s="127"/>
      <c r="N273" s="135"/>
      <c r="O273" s="135"/>
      <c r="P273" s="135"/>
      <c r="Q273" s="135"/>
      <c r="R273" s="135"/>
      <c r="S273" s="135"/>
      <c r="T273" s="135"/>
      <c r="U273" s="135"/>
      <c r="V273" s="135"/>
      <c r="W273" s="135"/>
      <c r="X273" s="135"/>
      <c r="Y273" s="135"/>
      <c r="Z273" s="135"/>
      <c r="AA273" s="135"/>
      <c r="AB273" s="135"/>
      <c r="AC273" s="135"/>
      <c r="AD273" s="135"/>
      <c r="AE273" s="135"/>
      <c r="AF273" s="135"/>
      <c r="AG273" s="135"/>
      <c r="AH273" s="135"/>
      <c r="AI273" s="135"/>
      <c r="AJ273" s="135"/>
      <c r="AK273" s="135"/>
      <c r="AL273" s="135"/>
      <c r="AM273" s="135"/>
      <c r="AN273" s="135"/>
    </row>
    <row r="274" ht="15.75" customHeight="1">
      <c r="A274" s="147"/>
      <c r="B274" s="147"/>
      <c r="C274" s="147"/>
      <c r="D274" s="147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7"/>
      <c r="P274" s="147"/>
    </row>
    <row r="275" ht="15.75" customHeight="1">
      <c r="A275" s="147"/>
      <c r="B275" s="147"/>
      <c r="C275" s="147"/>
      <c r="D275" s="147"/>
      <c r="E275" s="147"/>
      <c r="F275" s="147"/>
      <c r="G275" s="147"/>
      <c r="H275" s="147"/>
      <c r="I275" s="147"/>
      <c r="J275" s="147"/>
      <c r="K275" s="147"/>
      <c r="L275" s="147"/>
      <c r="M275" s="147"/>
      <c r="N275" s="147"/>
      <c r="O275" s="147"/>
      <c r="P275" s="147"/>
    </row>
    <row r="276" ht="15.75" customHeight="1">
      <c r="A276" s="127"/>
      <c r="B276" s="127"/>
      <c r="C276" s="127"/>
      <c r="D276" s="128"/>
      <c r="E276" s="129"/>
      <c r="F276" s="129"/>
      <c r="G276" s="129"/>
      <c r="H276" s="127"/>
      <c r="I276" s="127"/>
      <c r="J276" s="127"/>
      <c r="K276" s="127"/>
      <c r="L276" s="127"/>
      <c r="M276" s="147"/>
      <c r="N276" s="147"/>
      <c r="O276" s="147"/>
      <c r="P276" s="147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71:F271"/>
    <mergeCell ref="G271:H271"/>
    <mergeCell ref="J271:M271"/>
  </mergeCells>
  <conditionalFormatting sqref="A271:F271">
    <cfRule type="notContainsBlanks" dxfId="9" priority="1">
      <formula>LEN(TRIM(A271))&gt;0</formula>
    </cfRule>
  </conditionalFormatting>
  <dataValidations>
    <dataValidation type="list" allowBlank="1" showErrorMessage="1" sqref="L272:L273">
      <formula1>"Covered,Removed,Deleted,Pending"</formula1>
    </dataValidation>
  </dataValidations>
  <drawing r:id="rId2"/>
  <legacyDrawing r:id="rId3"/>
  <tableParts count="3">
    <tablePart r:id="rId7"/>
    <tablePart r:id="rId8"/>
    <tablePart r:id="rId9"/>
  </tableParts>
</worksheet>
</file>